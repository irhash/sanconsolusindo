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28830" windowHeight="12675"/>
  </bookViews>
  <sheets>
    <sheet name="THEMPLATE QUOT" sheetId="4" r:id="rId1"/>
    <sheet name="format quot" sheetId="1" r:id="rId2"/>
    <sheet name="Sheet2" sheetId="2" r:id="rId3"/>
    <sheet name="Sheet3" sheetId="3" r:id="rId4"/>
    <sheet name="DATA CUSTOMER" sheetId="5" r:id="rId5"/>
  </sheets>
  <externalReferences>
    <externalReference r:id="rId6"/>
  </externalReferences>
  <definedNames>
    <definedName name="_xlnm.Print_Area" localSheetId="1">'format quot'!$A$1:$Z$54</definedName>
    <definedName name="Z_D7858EE5_5A2B_4DA3_AFDF_B47720F98719_.wvu.PrintArea" localSheetId="1" hidden="1">'format quot'!$A$1:$Z$54</definedName>
  </definedNames>
  <calcPr calcId="145621"/>
  <customWorkbookViews>
    <customWorkbookView name="quotation" guid="{D7858EE5-5A2B-4DA3-AFDF-B47720F98719}" maximized="1" windowWidth="1920" windowHeight="854" activeSheetId="4"/>
  </customWorkbookViews>
</workbook>
</file>

<file path=xl/calcChain.xml><?xml version="1.0" encoding="utf-8"?>
<calcChain xmlns="http://schemas.openxmlformats.org/spreadsheetml/2006/main">
  <c r="Q22" i="1" l="1"/>
  <c r="B45" i="1" l="1"/>
  <c r="H44" i="1" l="1"/>
  <c r="E46" i="1"/>
  <c r="W25" i="1"/>
  <c r="O4" i="1"/>
  <c r="Q23" i="1"/>
  <c r="W23" i="1" s="1"/>
  <c r="B55" i="2"/>
  <c r="S55" i="2" l="1"/>
  <c r="K23" i="1"/>
  <c r="AB7" i="1" l="1"/>
  <c r="AE17" i="1" s="1"/>
  <c r="AF17" i="1" s="1"/>
  <c r="E15" i="4"/>
  <c r="E6" i="4" s="1"/>
  <c r="M4" i="1" s="1"/>
  <c r="B23" i="4"/>
  <c r="M9" i="1"/>
  <c r="M8" i="1"/>
  <c r="M10" i="1"/>
  <c r="AI7" i="1"/>
  <c r="AF7" i="1"/>
  <c r="AB8" i="1"/>
  <c r="AE18" i="1" s="1"/>
  <c r="AF18" i="1" s="1"/>
  <c r="AD2" i="1"/>
  <c r="AA3" i="1"/>
  <c r="F14" i="1" s="1"/>
  <c r="I14" i="1" l="1"/>
  <c r="J24" i="1"/>
  <c r="Q24" i="1"/>
  <c r="T11" i="1"/>
  <c r="AC35" i="1"/>
  <c r="AC30" i="1"/>
  <c r="AF30" i="1" l="1"/>
  <c r="C57" i="2" l="1"/>
  <c r="Q14" i="1" l="1"/>
  <c r="AJ13" i="1" l="1"/>
  <c r="M21" i="3"/>
  <c r="N21" i="3" s="1"/>
  <c r="N32" i="3"/>
  <c r="N22" i="3"/>
  <c r="N23" i="3"/>
  <c r="N24" i="3"/>
  <c r="N25" i="3"/>
  <c r="N26" i="3"/>
  <c r="N27" i="3"/>
  <c r="N28" i="3"/>
  <c r="N29" i="3"/>
  <c r="N30" i="3"/>
  <c r="N31" i="3"/>
  <c r="AJ17" i="1"/>
  <c r="Q17" i="1"/>
  <c r="G22" i="1" l="1"/>
  <c r="W22" i="1" s="1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55" i="3"/>
  <c r="AL23" i="1" l="1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4" i="3"/>
  <c r="B42" i="3"/>
  <c r="B43" i="3"/>
  <c r="B44" i="3"/>
  <c r="B45" i="3"/>
  <c r="B46" i="3"/>
  <c r="B47" i="3"/>
  <c r="B48" i="3"/>
  <c r="B49" i="3"/>
  <c r="B50" i="3"/>
  <c r="B51" i="3"/>
  <c r="B52" i="3"/>
  <c r="B53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" i="3"/>
  <c r="H55" i="2"/>
  <c r="L50" i="2"/>
  <c r="AE10" i="1"/>
  <c r="AF10" i="1" s="1"/>
  <c r="AE9" i="1"/>
  <c r="AF9" i="1" s="1"/>
  <c r="T46" i="1"/>
  <c r="Y11" i="1"/>
  <c r="M17" i="1"/>
  <c r="W17" i="1" s="1"/>
  <c r="V11" i="1"/>
  <c r="Q4" i="1" l="1"/>
  <c r="S4" i="1"/>
  <c r="J14" i="2" l="1"/>
  <c r="B45" i="2" l="1"/>
  <c r="S54" i="2" s="1"/>
  <c r="L49" i="2"/>
  <c r="S49" i="2" s="1"/>
  <c r="L41" i="2"/>
  <c r="S41" i="2" s="1"/>
  <c r="F14" i="2"/>
  <c r="F17" i="2"/>
  <c r="F18" i="2"/>
  <c r="B50" i="2"/>
  <c r="S58" i="2" s="1"/>
  <c r="F19" i="2"/>
  <c r="L42" i="2"/>
  <c r="S42" i="2" s="1"/>
  <c r="B49" i="2"/>
  <c r="S57" i="2" s="1"/>
  <c r="B48" i="2"/>
  <c r="S56" i="2" s="1"/>
  <c r="B46" i="2"/>
  <c r="F16" i="2"/>
  <c r="L43" i="2"/>
  <c r="S43" i="2" s="1"/>
  <c r="B44" i="2"/>
  <c r="S53" i="2" s="1"/>
  <c r="L47" i="2"/>
  <c r="S47" i="2" s="1"/>
  <c r="B43" i="2"/>
  <c r="S52" i="2" s="1"/>
  <c r="B42" i="2"/>
  <c r="S51" i="2" s="1"/>
  <c r="L46" i="2"/>
  <c r="S46" i="2" s="1"/>
  <c r="L48" i="2"/>
  <c r="S48" i="2" s="1"/>
  <c r="B41" i="2"/>
  <c r="S50" i="2" s="1"/>
  <c r="L45" i="2"/>
  <c r="S45" i="2" s="1"/>
  <c r="F15" i="2"/>
  <c r="L44" i="2"/>
  <c r="S44" i="2" s="1"/>
  <c r="G16" i="1" l="1"/>
  <c r="M14" i="1"/>
  <c r="W14" i="1" s="1"/>
  <c r="C16" i="1"/>
  <c r="C15" i="1"/>
  <c r="M18" i="1" l="1"/>
  <c r="O18" i="1"/>
  <c r="M24" i="1"/>
  <c r="W24" i="1" s="1"/>
  <c r="M21" i="1"/>
  <c r="Q21" i="1" l="1"/>
  <c r="W21" i="1" s="1"/>
  <c r="Q18" i="1"/>
  <c r="W18" i="1" s="1"/>
  <c r="Q20" i="1"/>
  <c r="W20" i="1" s="1"/>
  <c r="O21" i="1"/>
  <c r="W37" i="1" l="1"/>
  <c r="W39" i="1" s="1"/>
</calcChain>
</file>

<file path=xl/sharedStrings.xml><?xml version="1.0" encoding="utf-8"?>
<sst xmlns="http://schemas.openxmlformats.org/spreadsheetml/2006/main" count="335" uniqueCount="264">
  <si>
    <t xml:space="preserve"> </t>
  </si>
  <si>
    <t>Company Address</t>
  </si>
  <si>
    <t>CV. SANCON SOLUSINDO</t>
  </si>
  <si>
    <t>Jl. Puri Intan No.40 Cipageran, Cimahi</t>
  </si>
  <si>
    <t>Email   : info@sanconsolusindo.com</t>
  </si>
  <si>
    <t>No</t>
  </si>
  <si>
    <t>Item</t>
  </si>
  <si>
    <t>Specification</t>
  </si>
  <si>
    <t>Qty</t>
  </si>
  <si>
    <t>Unit</t>
  </si>
  <si>
    <t>Unit Rate</t>
  </si>
  <si>
    <t>Amount</t>
  </si>
  <si>
    <t xml:space="preserve">kontruksi wall mounted </t>
  </si>
  <si>
    <t xml:space="preserve">Instalasi </t>
  </si>
  <si>
    <t>Instalasi Module,power supply , listrik, data, training dan setting</t>
  </si>
  <si>
    <t>LS</t>
  </si>
  <si>
    <t>Panel listrik</t>
  </si>
  <si>
    <t>Panel auto dan distribusi</t>
  </si>
  <si>
    <t>PCS</t>
  </si>
  <si>
    <t>Total</t>
  </si>
  <si>
    <t xml:space="preserve">Grand Total </t>
  </si>
  <si>
    <t>P2,5</t>
  </si>
  <si>
    <t>PIXEL PITCH</t>
  </si>
  <si>
    <t>Meter</t>
  </si>
  <si>
    <t>Height :</t>
  </si>
  <si>
    <t xml:space="preserve">Wide   : </t>
  </si>
  <si>
    <t>LEBAR</t>
  </si>
  <si>
    <t>TINGGI</t>
  </si>
  <si>
    <t>METER</t>
  </si>
  <si>
    <t>brightness  500nits, 3840hz</t>
  </si>
  <si>
    <t>INSTALATION TYPE</t>
  </si>
  <si>
    <t>Magnetic installation</t>
  </si>
  <si>
    <t>Cabinet die casting 640x480 mm</t>
  </si>
  <si>
    <t>O12</t>
  </si>
  <si>
    <t>O13</t>
  </si>
  <si>
    <t>O14</t>
  </si>
  <si>
    <t>O15</t>
  </si>
  <si>
    <t>O16</t>
  </si>
  <si>
    <t>IF(O3=1,8,012,IF(B5&gt;70,"B",IF(B5&gt;50,"C","D")))</t>
  </si>
  <si>
    <t>P1,8</t>
  </si>
  <si>
    <t>P1,5</t>
  </si>
  <si>
    <t>P1,25</t>
  </si>
  <si>
    <t xml:space="preserve">Indoor  full Color </t>
  </si>
  <si>
    <t>LED Screen Indoor</t>
  </si>
  <si>
    <t>P4,0</t>
  </si>
  <si>
    <t>x</t>
  </si>
  <si>
    <t>meter</t>
  </si>
  <si>
    <t>O17</t>
  </si>
  <si>
    <t>O18</t>
  </si>
  <si>
    <t>kontruksi</t>
  </si>
  <si>
    <t>instalasi &lt;7m</t>
  </si>
  <si>
    <t>instalasi &gt;7m</t>
  </si>
  <si>
    <t>O19</t>
  </si>
  <si>
    <t xml:space="preserve">Panel listrik &lt;5m </t>
  </si>
  <si>
    <t>IF(J18&lt;7;5000000;IF(J18&gt;7;U18;))</t>
  </si>
  <si>
    <t xml:space="preserve">Panel listrik &gt;15m </t>
  </si>
  <si>
    <t xml:space="preserve">Panel listrik &lt;15m </t>
  </si>
  <si>
    <t>Kabel listrik</t>
  </si>
  <si>
    <t>O20</t>
  </si>
  <si>
    <t>O21</t>
  </si>
  <si>
    <t>O22</t>
  </si>
  <si>
    <t>LED processor</t>
  </si>
  <si>
    <t>Asynchronous Huidu</t>
  </si>
  <si>
    <t>Asynchronous Novastar</t>
  </si>
  <si>
    <t>LED Controller</t>
  </si>
  <si>
    <t>SIZE LED</t>
  </si>
  <si>
    <t>TYPE CONTROLLE</t>
  </si>
  <si>
    <t xml:space="preserve">Sparepart module </t>
  </si>
  <si>
    <t>PT. CIPTA TEKNIK UTAMA</t>
  </si>
  <si>
    <t>Bapak Sumiyanto</t>
  </si>
  <si>
    <t>Ibu krisna</t>
  </si>
  <si>
    <t>Ibu sisca</t>
  </si>
  <si>
    <t>Ibu Amel</t>
  </si>
  <si>
    <t>Bapak Andre</t>
  </si>
  <si>
    <t>PPN 11%</t>
  </si>
  <si>
    <t xml:space="preserve">Bandung, </t>
  </si>
  <si>
    <t>NO</t>
  </si>
  <si>
    <t>ITEM PROCESSOR</t>
  </si>
  <si>
    <t>QTY PORT</t>
  </si>
  <si>
    <t>HARGA MODAL</t>
  </si>
  <si>
    <t>HARGA JUAL</t>
  </si>
  <si>
    <t>NOVASTAR V760</t>
  </si>
  <si>
    <t>HUIDU VP210</t>
  </si>
  <si>
    <t>NOVASTAR V960</t>
  </si>
  <si>
    <t>HUIDU VP410</t>
  </si>
  <si>
    <t>NOVASTAR VX400</t>
  </si>
  <si>
    <t>HUIDU VP410C</t>
  </si>
  <si>
    <t>NOVASTAR V600</t>
  </si>
  <si>
    <t>HUIDU VP620</t>
  </si>
  <si>
    <t>NOVASTAR V1000</t>
  </si>
  <si>
    <t>HUIDU VP820</t>
  </si>
  <si>
    <t>NOVASTAR VX16</t>
  </si>
  <si>
    <t>HUIDU VP830</t>
  </si>
  <si>
    <t>NOVASTAR H SERIES</t>
  </si>
  <si>
    <t>&gt;16</t>
  </si>
  <si>
    <t>HUIDU VP1240</t>
  </si>
  <si>
    <t>NOVASTAR TB2</t>
  </si>
  <si>
    <t>HUIDU VP1640</t>
  </si>
  <si>
    <t>NOVASTAR TB50</t>
  </si>
  <si>
    <t>NOVASTAR TB60</t>
  </si>
  <si>
    <t>V760</t>
  </si>
  <si>
    <t>V960</t>
  </si>
  <si>
    <t>VX400</t>
  </si>
  <si>
    <t>V600</t>
  </si>
  <si>
    <t>V1000</t>
  </si>
  <si>
    <t>VX16</t>
  </si>
  <si>
    <t>H SERIES</t>
  </si>
  <si>
    <t>TB2</t>
  </si>
  <si>
    <t>TB50</t>
  </si>
  <si>
    <t>TB60</t>
  </si>
  <si>
    <t>RESOLUSI WIDE</t>
  </si>
  <si>
    <t>RESOLUSI HIGHT</t>
  </si>
  <si>
    <t>WIDE MM</t>
  </si>
  <si>
    <t>HEIGHT MM</t>
  </si>
  <si>
    <t>MODULE WIDE</t>
  </si>
  <si>
    <t>MODULE HEIGHT</t>
  </si>
  <si>
    <t>JUMLAH TARIKAN</t>
  </si>
  <si>
    <t>jumlah tarikan</t>
  </si>
  <si>
    <t>IF(J14&lt;=2,4;"NOVASTAR V760"</t>
  </si>
  <si>
    <t>IF(J14&lt;=2,4;"HUIDU VP210";IF(J14&lt;=4,3;"NOVASTAR VX400";IF(J14&lt;=6,3;"HUIDU VP620")))</t>
  </si>
  <si>
    <t>IF(J14&gt;1&lt;2,3;"NOVASTAR TB 50";IF(J14&gt;2,3&lt;4,3;"HUIDU V410";IF(J14&gt;4,3&lt;6,3;"HUIDU VX620")))</t>
  </si>
  <si>
    <t>IF(J14&lt;=1,2;"NOVASTAR TB 20";IF(J14&lt;=2,4;"NOVASTAR V760";IF(J14&lt;=4,3;"NOVASTAR V960";IF(J14&lt;=6,3;"NOVASTAR VX600"))))</t>
  </si>
  <si>
    <t>HUIDU A4</t>
  </si>
  <si>
    <t>NOVASTAR</t>
  </si>
  <si>
    <t>HUIDU</t>
  </si>
  <si>
    <t>LED Processor Huidu</t>
  </si>
  <si>
    <t>LED Processor Novastar</t>
  </si>
  <si>
    <t>ASY</t>
  </si>
  <si>
    <t>IF(AND(B63="LED Processor Huidu";Sheet2!L48="VP1640");"VP1640";"0")</t>
  </si>
  <si>
    <t>MEREK CONTROLLE</t>
  </si>
  <si>
    <t>MODULE P4</t>
  </si>
  <si>
    <t>MODULE P2,5</t>
  </si>
  <si>
    <t>MODULE P1,8</t>
  </si>
  <si>
    <t>MODULE P1,25</t>
  </si>
  <si>
    <t>P1,25 GOB MODULE</t>
  </si>
  <si>
    <t>Kabel UTP</t>
  </si>
  <si>
    <t xml:space="preserve">Cat 5E </t>
  </si>
  <si>
    <t>CABINET………………………………</t>
  </si>
  <si>
    <t>CABINET……………………..</t>
  </si>
  <si>
    <t>MODULAR……………………..</t>
  </si>
  <si>
    <t>CV. NISCAYA BERKAH</t>
  </si>
  <si>
    <t>Bapak Alex</t>
  </si>
  <si>
    <t xml:space="preserve">Kontruksi </t>
  </si>
  <si>
    <t>Kabel listrik instalasi</t>
  </si>
  <si>
    <t>Akomodasi</t>
  </si>
  <si>
    <t xml:space="preserve">Module sparepart </t>
  </si>
  <si>
    <t>/</t>
  </si>
  <si>
    <t>P5,0</t>
  </si>
  <si>
    <t>M2</t>
  </si>
  <si>
    <t>SET</t>
  </si>
  <si>
    <t>MODULE P5</t>
  </si>
  <si>
    <t>Jakarta</t>
  </si>
  <si>
    <t>kabel listrik &lt;15m</t>
  </si>
  <si>
    <t>kabel listrik &gt;15m</t>
  </si>
  <si>
    <t>SIZE TINGGI</t>
  </si>
  <si>
    <t>SIZE LEBAR</t>
  </si>
  <si>
    <t xml:space="preserve">MEREK CONTROLLER </t>
  </si>
  <si>
    <t>TYPE</t>
  </si>
  <si>
    <t>Nama perusahaan</t>
  </si>
  <si>
    <t>UP</t>
  </si>
  <si>
    <t>Ibu Sisca</t>
  </si>
  <si>
    <t>Ibu Tika</t>
  </si>
  <si>
    <t>Ibu Wulan</t>
  </si>
  <si>
    <t>Ibu Cessa</t>
  </si>
  <si>
    <t>NAMA CLIENT</t>
  </si>
  <si>
    <t>UP/ CLIENT</t>
  </si>
  <si>
    <t>LOKASI PEMASANGAN</t>
  </si>
  <si>
    <t>M</t>
  </si>
  <si>
    <t>inisial PT</t>
  </si>
  <si>
    <t>CTU</t>
  </si>
  <si>
    <t>NB</t>
  </si>
  <si>
    <t>INISIAL</t>
  </si>
  <si>
    <t xml:space="preserve">QUOTATION NO : </t>
  </si>
  <si>
    <t>Pengadaan LED screen</t>
  </si>
  <si>
    <t xml:space="preserve">Company Name  </t>
  </si>
  <si>
    <t xml:space="preserve">Up                      </t>
  </si>
  <si>
    <t xml:space="preserve">Lok Pemasangan </t>
  </si>
  <si>
    <t xml:space="preserve">Pekerjaan             </t>
  </si>
  <si>
    <t>QUOTATION NO :</t>
  </si>
  <si>
    <t>MOB &amp; DEMOB DELIV</t>
  </si>
  <si>
    <t xml:space="preserve">                   CV. SANCON SOLUSINDO</t>
  </si>
  <si>
    <t>Asynchronous huidu</t>
  </si>
  <si>
    <t xml:space="preserve">Akomodasi, pengiriman </t>
  </si>
  <si>
    <t>Asynchronous Huidu A4</t>
  </si>
  <si>
    <t xml:space="preserve"> 5.</t>
  </si>
  <si>
    <t xml:space="preserve"> 1.  </t>
  </si>
  <si>
    <t>Harga berlaku 7 hari sejak tanggal penawaran ini.</t>
  </si>
  <si>
    <t xml:space="preserve"> 2.    Termin 1 50% setelah PO turun 
         Termin 2 30% sebelum LED terpasang dan material onsite
         Termin 3 20% setelah pekerjaan selesai</t>
  </si>
  <si>
    <t xml:space="preserve"> 3. </t>
  </si>
  <si>
    <t xml:space="preserve"> 4.  </t>
  </si>
  <si>
    <t>Harga tidak termasuk  pemasangan frame partisi HPL</t>
  </si>
  <si>
    <t xml:space="preserve">Harga tidak termasuk biaya kordinasi </t>
  </si>
  <si>
    <t xml:space="preserve"> 7.</t>
  </si>
  <si>
    <t xml:space="preserve">Harga Franco </t>
  </si>
  <si>
    <t>lama pemasangan &amp; Fabrikasi</t>
  </si>
  <si>
    <t>LAMA PEMASANGAN</t>
  </si>
  <si>
    <t>2 Hari</t>
  </si>
  <si>
    <t>1 Hari</t>
  </si>
  <si>
    <t>3 Hari</t>
  </si>
  <si>
    <t>4 Hari</t>
  </si>
  <si>
    <t>5 Hari</t>
  </si>
  <si>
    <t>6 Hari</t>
  </si>
  <si>
    <t>7 Hari</t>
  </si>
  <si>
    <t>8 Hari</t>
  </si>
  <si>
    <t>9 Hari</t>
  </si>
  <si>
    <t>10 Hari</t>
  </si>
  <si>
    <t>11 Hari</t>
  </si>
  <si>
    <t>12 Hari</t>
  </si>
  <si>
    <t>13 Hari</t>
  </si>
  <si>
    <t>14 Hari</t>
  </si>
  <si>
    <t>15 Hari</t>
  </si>
  <si>
    <t>16 Hari</t>
  </si>
  <si>
    <t>17 Hari</t>
  </si>
  <si>
    <t>18 Hari</t>
  </si>
  <si>
    <t>19 Hari</t>
  </si>
  <si>
    <t>20 Hari</t>
  </si>
  <si>
    <t>21 Hari</t>
  </si>
  <si>
    <t>22 Hari</t>
  </si>
  <si>
    <t>23 Hari</t>
  </si>
  <si>
    <t>24 Hari</t>
  </si>
  <si>
    <t>25 Hari</t>
  </si>
  <si>
    <t>26 Hari</t>
  </si>
  <si>
    <t>27 Hari</t>
  </si>
  <si>
    <t>28 Hari</t>
  </si>
  <si>
    <t>29 Hari</t>
  </si>
  <si>
    <t>30 Hari</t>
  </si>
  <si>
    <t>31 Hari</t>
  </si>
  <si>
    <t>32 Hari</t>
  </si>
  <si>
    <t>33 Hari</t>
  </si>
  <si>
    <t>34 Hari</t>
  </si>
  <si>
    <t>35 Hari</t>
  </si>
  <si>
    <t>36 Hari</t>
  </si>
  <si>
    <t>37 Hari</t>
  </si>
  <si>
    <t>38 Hari</t>
  </si>
  <si>
    <t>39 Hari</t>
  </si>
  <si>
    <t>40 Hari</t>
  </si>
  <si>
    <t>41 Hari</t>
  </si>
  <si>
    <t>42 Hari</t>
  </si>
  <si>
    <t>43 Hari</t>
  </si>
  <si>
    <t>44 Hari</t>
  </si>
  <si>
    <t>45 Hari</t>
  </si>
  <si>
    <t>46 Hari</t>
  </si>
  <si>
    <t>47 Hari</t>
  </si>
  <si>
    <t>48 Hari</t>
  </si>
  <si>
    <t>49 Hari</t>
  </si>
  <si>
    <t>50 Hari</t>
  </si>
  <si>
    <t>51 Hari</t>
  </si>
  <si>
    <t>52 Hari</t>
  </si>
  <si>
    <t>53 Hari</t>
  </si>
  <si>
    <t>54 Hari</t>
  </si>
  <si>
    <t>55 Hari</t>
  </si>
  <si>
    <t>56 Hari</t>
  </si>
  <si>
    <t>57 Hari</t>
  </si>
  <si>
    <t>58 Hari</t>
  </si>
  <si>
    <t>59 Hari</t>
  </si>
  <si>
    <t>60 Hari</t>
  </si>
  <si>
    <t xml:space="preserve"> 8.    Harga belum termasuk kabel topoor</t>
  </si>
  <si>
    <t xml:space="preserve"> 6.</t>
  </si>
  <si>
    <t>STATUS LED</t>
  </si>
  <si>
    <t>Unit LED Indent 14 Hari Via pesawat</t>
  </si>
  <si>
    <t>Unit LED Indent 35 Hari Via laut</t>
  </si>
  <si>
    <t>Unit LED Indent 45 Hari Via laut</t>
  </si>
  <si>
    <t xml:space="preserve">Semua unit dan perangkat LED ready stock </t>
  </si>
  <si>
    <r>
      <rPr>
        <b/>
        <sz val="11"/>
        <color theme="1"/>
        <rFont val="Calibri"/>
        <family val="2"/>
        <scheme val="minor"/>
      </rPr>
      <t xml:space="preserve">                              </t>
    </r>
    <r>
      <rPr>
        <b/>
        <u/>
        <sz val="11"/>
        <color theme="1"/>
        <rFont val="Calibri"/>
        <family val="2"/>
        <scheme val="minor"/>
      </rPr>
      <t>Visman Wibawa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</si>
</sst>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2" formatCode="_-&quot;Rp&quot;* #,##0_-;\-&quot;Rp&quot;* #,##0_-;_-&quot;Rp&quot;* &quot;-&quot;_-;_-@_-"/>
    <numFmt numFmtId="164" formatCode="0.0"/>
    <numFmt numFmtId="165" formatCode="&quot;Rp&quot;#,##0"/>
    <numFmt numFmtId="166" formatCode="[$-421]dd\ mmmm\ yyyy;@"/>
    <numFmt numFmtId="167" formatCode="m/d;@"/>
    <numFmt numFmtId="168" formatCode="&quot;Rp&quot;#,##0.00"/>
  </numFmts>
  <fonts count="36" x14ac:knownFonts="1">
    <font>
      <sz val="11"/>
      <color theme="1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0"/>
      <name val="Tahoma"/>
      <family val="2"/>
    </font>
    <font>
      <sz val="10"/>
      <name val="Trebuchet MS"/>
      <family val="2"/>
    </font>
    <font>
      <b/>
      <sz val="11"/>
      <color theme="0"/>
      <name val="Trebuchet MS"/>
      <family val="2"/>
    </font>
    <font>
      <b/>
      <sz val="10"/>
      <color theme="0"/>
      <name val="Trebuchet MS"/>
      <family val="2"/>
    </font>
    <font>
      <b/>
      <sz val="10"/>
      <color indexed="8"/>
      <name val="Arial"/>
      <family val="2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theme="1"/>
      <name val="Calibri"/>
      <family val="2"/>
      <charset val="1"/>
      <scheme val="minor"/>
    </font>
    <font>
      <sz val="20"/>
      <color theme="1"/>
      <name val="Calibri"/>
      <family val="2"/>
      <charset val="1"/>
      <scheme val="minor"/>
    </font>
    <font>
      <sz val="16"/>
      <color theme="1"/>
      <name val="Calibri"/>
      <family val="2"/>
      <charset val="1"/>
      <scheme val="minor"/>
    </font>
    <font>
      <sz val="26"/>
      <color theme="1"/>
      <name val="Calibri"/>
      <family val="2"/>
      <charset val="1"/>
      <scheme val="minor"/>
    </font>
    <font>
      <sz val="14"/>
      <color theme="1"/>
      <name val="Calibri"/>
      <family val="2"/>
      <charset val="1"/>
      <scheme val="minor"/>
    </font>
    <font>
      <b/>
      <sz val="12"/>
      <color indexed="8"/>
      <name val="Arial"/>
      <family val="2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0"/>
      <name val="Calibri"/>
      <family val="2"/>
      <charset val="1"/>
      <scheme val="minor"/>
    </font>
    <font>
      <sz val="11"/>
      <color rgb="FFFF0000"/>
      <name val="Calibri"/>
      <family val="2"/>
      <charset val="1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charset val="1"/>
      <scheme val="minor"/>
    </font>
    <font>
      <b/>
      <sz val="14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0"/>
      <name val="Calibri"/>
      <family val="2"/>
      <charset val="1"/>
      <scheme val="minor"/>
    </font>
    <font>
      <sz val="18"/>
      <color theme="1"/>
      <name val="Calibri"/>
      <family val="2"/>
      <charset val="1"/>
      <scheme val="minor"/>
    </font>
    <font>
      <sz val="24"/>
      <color theme="1"/>
      <name val="Calibri"/>
      <family val="2"/>
      <charset val="1"/>
      <scheme val="minor"/>
    </font>
    <font>
      <b/>
      <sz val="13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002060"/>
        <bgColor auto="1"/>
      </patternFill>
    </fill>
    <fill>
      <patternFill patternType="solid">
        <fgColor indexed="9"/>
        <bgColor indexed="26"/>
      </patternFill>
    </fill>
    <fill>
      <patternFill patternType="solid">
        <fgColor indexed="9"/>
        <bgColor indexed="9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indexed="51"/>
      </patternFill>
    </fill>
    <fill>
      <patternFill patternType="solid">
        <fgColor rgb="FFE6E6E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2">
    <xf numFmtId="0" fontId="0" fillId="0" borderId="0" xfId="0"/>
    <xf numFmtId="0" fontId="0" fillId="2" borderId="0" xfId="0" applyFill="1"/>
    <xf numFmtId="0" fontId="0" fillId="0" borderId="0" xfId="0" applyBorder="1"/>
    <xf numFmtId="0" fontId="2" fillId="0" borderId="0" xfId="0" applyFont="1" applyBorder="1" applyAlignment="1"/>
    <xf numFmtId="0" fontId="3" fillId="0" borderId="0" xfId="0" applyFont="1" applyBorder="1"/>
    <xf numFmtId="0" fontId="9" fillId="6" borderId="11" xfId="0" applyFont="1" applyFill="1" applyBorder="1" applyAlignment="1">
      <alignment horizontal="center"/>
    </xf>
    <xf numFmtId="0" fontId="11" fillId="8" borderId="11" xfId="0" applyFont="1" applyFill="1" applyBorder="1" applyAlignment="1">
      <alignment horizontal="center" vertical="center"/>
    </xf>
    <xf numFmtId="0" fontId="13" fillId="0" borderId="13" xfId="0" applyFont="1" applyFill="1" applyBorder="1" applyAlignment="1">
      <alignment horizontal="left" vertical="center"/>
    </xf>
    <xf numFmtId="0" fontId="11" fillId="8" borderId="17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left"/>
    </xf>
    <xf numFmtId="0" fontId="0" fillId="0" borderId="0" xfId="0" applyFont="1" applyBorder="1"/>
    <xf numFmtId="0" fontId="0" fillId="0" borderId="0" xfId="0" applyFont="1" applyBorder="1" applyAlignment="1"/>
    <xf numFmtId="0" fontId="14" fillId="0" borderId="0" xfId="0" applyFont="1" applyBorder="1" applyAlignment="1">
      <alignment horizontal="center" vertical="center"/>
    </xf>
    <xf numFmtId="0" fontId="13" fillId="0" borderId="21" xfId="0" applyFont="1" applyFill="1" applyBorder="1" applyAlignment="1">
      <alignment horizontal="left" vertical="center"/>
    </xf>
    <xf numFmtId="0" fontId="12" fillId="0" borderId="18" xfId="0" applyFont="1" applyFill="1" applyBorder="1" applyAlignment="1">
      <alignment horizontal="left" vertical="center"/>
    </xf>
    <xf numFmtId="0" fontId="12" fillId="0" borderId="25" xfId="0" applyFont="1" applyFill="1" applyBorder="1" applyAlignment="1">
      <alignment horizontal="left" vertical="center"/>
    </xf>
    <xf numFmtId="0" fontId="0" fillId="0" borderId="0" xfId="0" applyBorder="1" applyAlignment="1"/>
    <xf numFmtId="0" fontId="0" fillId="0" borderId="0" xfId="0" applyFill="1" applyBorder="1" applyAlignment="1"/>
    <xf numFmtId="0" fontId="20" fillId="0" borderId="23" xfId="0" applyFont="1" applyFill="1" applyBorder="1" applyAlignment="1">
      <alignment horizontal="left" vertical="center"/>
    </xf>
    <xf numFmtId="0" fontId="0" fillId="9" borderId="23" xfId="0" applyFill="1" applyBorder="1"/>
    <xf numFmtId="0" fontId="0" fillId="0" borderId="0" xfId="0" applyFill="1"/>
    <xf numFmtId="0" fontId="12" fillId="0" borderId="16" xfId="0" applyNumberFormat="1" applyFont="1" applyFill="1" applyBorder="1" applyAlignment="1">
      <alignment horizontal="left" vertical="center" wrapText="1"/>
    </xf>
    <xf numFmtId="2" fontId="6" fillId="5" borderId="8" xfId="0" applyNumberFormat="1" applyFont="1" applyFill="1" applyBorder="1" applyAlignment="1" applyProtection="1">
      <alignment horizontal="left"/>
    </xf>
    <xf numFmtId="0" fontId="6" fillId="4" borderId="29" xfId="0" applyFont="1" applyFill="1" applyBorder="1" applyAlignment="1" applyProtection="1">
      <alignment horizontal="left"/>
      <protection locked="0"/>
    </xf>
    <xf numFmtId="0" fontId="8" fillId="4" borderId="6" xfId="0" applyFont="1" applyFill="1" applyBorder="1" applyAlignment="1" applyProtection="1">
      <alignment horizontal="left"/>
      <protection locked="0"/>
    </xf>
    <xf numFmtId="0" fontId="6" fillId="5" borderId="9" xfId="0" applyFont="1" applyFill="1" applyBorder="1" applyAlignment="1" applyProtection="1">
      <alignment horizontal="left"/>
    </xf>
    <xf numFmtId="0" fontId="23" fillId="0" borderId="2" xfId="0" applyFont="1" applyBorder="1" applyAlignment="1">
      <alignment vertical="center"/>
    </xf>
    <xf numFmtId="0" fontId="23" fillId="0" borderId="23" xfId="0" applyFont="1" applyBorder="1" applyAlignment="1">
      <alignment vertical="center"/>
    </xf>
    <xf numFmtId="0" fontId="24" fillId="0" borderId="2" xfId="0" applyFont="1" applyBorder="1" applyAlignment="1">
      <alignment horizontal="center"/>
    </xf>
    <xf numFmtId="0" fontId="24" fillId="0" borderId="23" xfId="0" applyFont="1" applyBorder="1" applyAlignment="1">
      <alignment horizontal="center"/>
    </xf>
    <xf numFmtId="0" fontId="24" fillId="0" borderId="0" xfId="0" applyFont="1" applyBorder="1" applyAlignment="1"/>
    <xf numFmtId="0" fontId="12" fillId="0" borderId="0" xfId="0" applyFont="1" applyBorder="1" applyAlignment="1"/>
    <xf numFmtId="0" fontId="0" fillId="9" borderId="30" xfId="0" applyFill="1" applyBorder="1"/>
    <xf numFmtId="0" fontId="1" fillId="11" borderId="0" xfId="0" applyFont="1" applyFill="1"/>
    <xf numFmtId="0" fontId="1" fillId="11" borderId="0" xfId="0" applyFont="1" applyFill="1" applyBorder="1"/>
    <xf numFmtId="0" fontId="1" fillId="11" borderId="28" xfId="0" applyFont="1" applyFill="1" applyBorder="1"/>
    <xf numFmtId="0" fontId="24" fillId="9" borderId="23" xfId="0" applyFont="1" applyFill="1" applyBorder="1" applyAlignment="1">
      <alignment horizontal="center"/>
    </xf>
    <xf numFmtId="0" fontId="0" fillId="9" borderId="23" xfId="0" applyFill="1" applyBorder="1" applyAlignment="1"/>
    <xf numFmtId="0" fontId="0" fillId="10" borderId="23" xfId="0" applyFill="1" applyBorder="1" applyAlignment="1"/>
    <xf numFmtId="0" fontId="0" fillId="0" borderId="5" xfId="0" applyBorder="1"/>
    <xf numFmtId="0" fontId="1" fillId="0" borderId="0" xfId="0" applyFont="1"/>
    <xf numFmtId="1" fontId="0" fillId="0" borderId="0" xfId="0" applyNumberFormat="1"/>
    <xf numFmtId="0" fontId="0" fillId="0" borderId="0" xfId="0" applyNumberFormat="1" applyAlignment="1"/>
    <xf numFmtId="0" fontId="1" fillId="0" borderId="0" xfId="0" applyFont="1" applyFill="1"/>
    <xf numFmtId="0" fontId="26" fillId="0" borderId="0" xfId="0" applyFont="1"/>
    <xf numFmtId="0" fontId="26" fillId="0" borderId="0" xfId="0" applyFont="1" applyBorder="1"/>
    <xf numFmtId="0" fontId="26" fillId="0" borderId="28" xfId="0" applyFont="1" applyBorder="1"/>
    <xf numFmtId="0" fontId="4" fillId="3" borderId="3" xfId="0" applyFont="1" applyFill="1" applyBorder="1" applyAlignment="1">
      <alignment horizontal="center" vertical="center"/>
    </xf>
    <xf numFmtId="0" fontId="15" fillId="0" borderId="0" xfId="0" applyFont="1" applyBorder="1" applyAlignment="1">
      <alignment horizontal="left"/>
    </xf>
    <xf numFmtId="0" fontId="14" fillId="0" borderId="0" xfId="0" applyFont="1" applyBorder="1" applyAlignment="1">
      <alignment horizontal="center" vertical="center"/>
    </xf>
    <xf numFmtId="0" fontId="27" fillId="0" borderId="0" xfId="0" applyFont="1"/>
    <xf numFmtId="0" fontId="0" fillId="0" borderId="0" xfId="0" applyFont="1"/>
    <xf numFmtId="0" fontId="15" fillId="0" borderId="0" xfId="0" applyFont="1" applyBorder="1" applyAlignment="1">
      <alignment horizontal="left"/>
    </xf>
    <xf numFmtId="0" fontId="0" fillId="0" borderId="23" xfId="0" applyBorder="1" applyAlignment="1">
      <alignment horizontal="center"/>
    </xf>
    <xf numFmtId="0" fontId="5" fillId="2" borderId="3" xfId="0" applyFont="1" applyFill="1" applyBorder="1" applyAlignment="1">
      <alignment horizontal="left"/>
    </xf>
    <xf numFmtId="0" fontId="23" fillId="0" borderId="23" xfId="0" applyFont="1" applyBorder="1" applyAlignment="1">
      <alignment horizontal="center" vertical="center"/>
    </xf>
    <xf numFmtId="0" fontId="29" fillId="0" borderId="0" xfId="0" applyFont="1" applyBorder="1" applyAlignment="1">
      <alignment horizontal="center"/>
    </xf>
    <xf numFmtId="0" fontId="9" fillId="0" borderId="0" xfId="0" applyFont="1" applyBorder="1"/>
    <xf numFmtId="0" fontId="29" fillId="11" borderId="0" xfId="0" applyFont="1" applyFill="1" applyBorder="1" applyAlignment="1">
      <alignment horizontal="center"/>
    </xf>
    <xf numFmtId="0" fontId="9" fillId="0" borderId="0" xfId="0" applyFont="1"/>
    <xf numFmtId="0" fontId="4" fillId="3" borderId="3" xfId="0" applyFont="1" applyFill="1" applyBorder="1" applyAlignment="1">
      <alignment vertical="center"/>
    </xf>
    <xf numFmtId="0" fontId="4" fillId="3" borderId="3" xfId="0" applyFont="1" applyFill="1" applyBorder="1" applyAlignment="1">
      <alignment horizontal="left" vertical="center"/>
    </xf>
    <xf numFmtId="167" fontId="0" fillId="0" borderId="0" xfId="0" applyNumberFormat="1"/>
    <xf numFmtId="0" fontId="4" fillId="3" borderId="3" xfId="0" applyFont="1" applyFill="1" applyBorder="1" applyAlignment="1">
      <alignment horizontal="right" vertical="center"/>
    </xf>
    <xf numFmtId="0" fontId="8" fillId="4" borderId="5" xfId="0" applyFont="1" applyFill="1" applyBorder="1" applyAlignment="1" applyProtection="1">
      <alignment horizontal="left"/>
      <protection locked="0"/>
    </xf>
    <xf numFmtId="0" fontId="8" fillId="4" borderId="0" xfId="0" applyFont="1" applyFill="1" applyBorder="1" applyAlignment="1" applyProtection="1">
      <alignment horizontal="left"/>
      <protection locked="0"/>
    </xf>
    <xf numFmtId="0" fontId="28" fillId="0" borderId="0" xfId="0" applyFont="1" applyFill="1"/>
    <xf numFmtId="0" fontId="28" fillId="0" borderId="0" xfId="0" applyFont="1"/>
    <xf numFmtId="42" fontId="7" fillId="0" borderId="0" xfId="0" applyNumberFormat="1" applyFont="1"/>
    <xf numFmtId="0" fontId="32" fillId="9" borderId="23" xfId="0" applyNumberFormat="1" applyFont="1" applyFill="1" applyBorder="1" applyAlignment="1">
      <alignment horizontal="center" vertical="center"/>
    </xf>
    <xf numFmtId="0" fontId="19" fillId="11" borderId="0" xfId="0" applyNumberFormat="1" applyFont="1" applyFill="1" applyBorder="1" applyAlignment="1"/>
    <xf numFmtId="0" fontId="1" fillId="12" borderId="5" xfId="0" applyFont="1" applyFill="1" applyBorder="1" applyAlignment="1"/>
    <xf numFmtId="0" fontId="1" fillId="12" borderId="0" xfId="0" applyFont="1" applyFill="1" applyBorder="1"/>
    <xf numFmtId="42" fontId="1" fillId="12" borderId="0" xfId="0" applyNumberFormat="1" applyFont="1" applyFill="1" applyBorder="1"/>
    <xf numFmtId="0" fontId="1" fillId="12" borderId="0" xfId="0" applyFont="1" applyFill="1"/>
    <xf numFmtId="164" fontId="1" fillId="12" borderId="0" xfId="0" applyNumberFormat="1" applyFont="1" applyFill="1" applyBorder="1"/>
    <xf numFmtId="165" fontId="1" fillId="12" borderId="0" xfId="0" applyNumberFormat="1" applyFont="1" applyFill="1" applyBorder="1"/>
    <xf numFmtId="0" fontId="31" fillId="12" borderId="0" xfId="0" applyFont="1" applyFill="1" applyBorder="1" applyAlignment="1">
      <alignment horizontal="left"/>
    </xf>
    <xf numFmtId="42" fontId="1" fillId="12" borderId="0" xfId="0" applyNumberFormat="1" applyFont="1" applyFill="1" applyBorder="1" applyAlignment="1">
      <alignment vertical="top"/>
    </xf>
    <xf numFmtId="42" fontId="25" fillId="12" borderId="0" xfId="0" applyNumberFormat="1" applyFont="1" applyFill="1" applyBorder="1" applyAlignment="1">
      <alignment vertical="center"/>
    </xf>
    <xf numFmtId="165" fontId="25" fillId="12" borderId="0" xfId="0" applyNumberFormat="1" applyFont="1" applyFill="1" applyBorder="1" applyAlignment="1">
      <alignment vertical="center"/>
    </xf>
    <xf numFmtId="2" fontId="1" fillId="12" borderId="0" xfId="0" applyNumberFormat="1" applyFont="1" applyFill="1" applyBorder="1"/>
    <xf numFmtId="0" fontId="25" fillId="12" borderId="0" xfId="0" applyFont="1" applyFill="1" applyBorder="1" applyAlignment="1">
      <alignment vertical="center"/>
    </xf>
    <xf numFmtId="42" fontId="1" fillId="12" borderId="0" xfId="0" applyNumberFormat="1" applyFont="1" applyFill="1" applyBorder="1" applyAlignment="1"/>
    <xf numFmtId="42" fontId="1" fillId="12" borderId="0" xfId="0" applyNumberFormat="1" applyFont="1" applyFill="1" applyAlignment="1"/>
    <xf numFmtId="0" fontId="1" fillId="12" borderId="0" xfId="0" applyFont="1" applyFill="1" applyBorder="1" applyAlignment="1"/>
    <xf numFmtId="0" fontId="25" fillId="12" borderId="0" xfId="0" applyFont="1" applyFill="1" applyBorder="1" applyAlignment="1"/>
    <xf numFmtId="0" fontId="25" fillId="12" borderId="0" xfId="0" applyFont="1" applyFill="1" applyBorder="1"/>
    <xf numFmtId="0" fontId="25" fillId="12" borderId="0" xfId="0" applyFont="1" applyFill="1" applyBorder="1" applyAlignment="1">
      <alignment horizontal="left"/>
    </xf>
    <xf numFmtId="1" fontId="1" fillId="12" borderId="0" xfId="0" applyNumberFormat="1" applyFont="1" applyFill="1" applyBorder="1" applyAlignment="1"/>
    <xf numFmtId="0" fontId="28" fillId="12" borderId="0" xfId="0" applyFont="1" applyFill="1"/>
    <xf numFmtId="0" fontId="18" fillId="9" borderId="2" xfId="0" applyFont="1" applyFill="1" applyBorder="1" applyAlignment="1">
      <alignment vertical="center"/>
    </xf>
    <xf numFmtId="42" fontId="1" fillId="12" borderId="0" xfId="0" applyNumberFormat="1" applyFont="1" applyFill="1" applyBorder="1" applyAlignment="1">
      <alignment horizontal="center"/>
    </xf>
    <xf numFmtId="42" fontId="1" fillId="12" borderId="0" xfId="0" applyNumberFormat="1" applyFont="1" applyFill="1" applyBorder="1" applyAlignment="1">
      <alignment horizontal="center" vertical="center"/>
    </xf>
    <xf numFmtId="0" fontId="0" fillId="9" borderId="23" xfId="0" applyFill="1" applyBorder="1" applyAlignment="1">
      <alignment vertical="center" wrapText="1"/>
    </xf>
    <xf numFmtId="0" fontId="0" fillId="0" borderId="23" xfId="0" applyFill="1" applyBorder="1" applyAlignment="1"/>
    <xf numFmtId="0" fontId="0" fillId="11" borderId="0" xfId="0" applyFill="1" applyBorder="1" applyAlignment="1">
      <alignment vertical="center" wrapText="1"/>
    </xf>
    <xf numFmtId="0" fontId="0" fillId="9" borderId="2" xfId="0" applyFill="1" applyBorder="1" applyAlignment="1"/>
    <xf numFmtId="0" fontId="0" fillId="9" borderId="3" xfId="0" applyFill="1" applyBorder="1" applyAlignment="1"/>
    <xf numFmtId="0" fontId="0" fillId="9" borderId="4" xfId="0" applyFill="1" applyBorder="1" applyAlignment="1"/>
    <xf numFmtId="0" fontId="18" fillId="9" borderId="27" xfId="0" applyFont="1" applyFill="1" applyBorder="1" applyAlignment="1">
      <alignment vertical="center"/>
    </xf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22" xfId="0" applyBorder="1"/>
    <xf numFmtId="0" fontId="0" fillId="0" borderId="1" xfId="0" applyBorder="1"/>
    <xf numFmtId="0" fontId="0" fillId="0" borderId="37" xfId="0" applyBorder="1"/>
    <xf numFmtId="0" fontId="23" fillId="0" borderId="23" xfId="0" applyFont="1" applyBorder="1" applyAlignment="1">
      <alignment horizontal="center" vertical="center" wrapText="1"/>
    </xf>
    <xf numFmtId="0" fontId="33" fillId="0" borderId="4" xfId="0" applyFont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0" fontId="33" fillId="0" borderId="4" xfId="0" applyFont="1" applyBorder="1" applyAlignment="1">
      <alignment vertical="center"/>
    </xf>
    <xf numFmtId="0" fontId="19" fillId="0" borderId="23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/>
    </xf>
    <xf numFmtId="168" fontId="0" fillId="0" borderId="0" xfId="0" applyNumberFormat="1" applyFill="1" applyBorder="1" applyAlignment="1"/>
    <xf numFmtId="0" fontId="7" fillId="0" borderId="38" xfId="0" applyFont="1" applyBorder="1" applyAlignment="1">
      <alignment horizontal="center" vertical="center"/>
    </xf>
    <xf numFmtId="1" fontId="4" fillId="3" borderId="3" xfId="0" applyNumberFormat="1" applyFont="1" applyFill="1" applyBorder="1" applyAlignment="1">
      <alignment horizontal="center" vertical="center"/>
    </xf>
    <xf numFmtId="2" fontId="6" fillId="5" borderId="9" xfId="0" applyNumberFormat="1" applyFont="1" applyFill="1" applyBorder="1" applyAlignment="1" applyProtection="1"/>
    <xf numFmtId="0" fontId="7" fillId="0" borderId="23" xfId="0" applyFont="1" applyBorder="1"/>
    <xf numFmtId="0" fontId="23" fillId="0" borderId="23" xfId="0" applyFont="1" applyBorder="1" applyAlignment="1">
      <alignment horizontal="center"/>
    </xf>
    <xf numFmtId="42" fontId="7" fillId="0" borderId="23" xfId="0" applyNumberFormat="1" applyFont="1" applyBorder="1" applyAlignment="1">
      <alignment vertical="center"/>
    </xf>
    <xf numFmtId="0" fontId="7" fillId="0" borderId="5" xfId="0" applyFont="1" applyBorder="1" applyAlignment="1"/>
    <xf numFmtId="42" fontId="7" fillId="0" borderId="5" xfId="0" applyNumberFormat="1" applyFont="1" applyBorder="1" applyAlignment="1">
      <alignment vertical="center"/>
    </xf>
    <xf numFmtId="42" fontId="30" fillId="0" borderId="0" xfId="0" applyNumberFormat="1" applyFont="1" applyBorder="1" applyAlignment="1">
      <alignment horizontal="center"/>
    </xf>
    <xf numFmtId="0" fontId="29" fillId="0" borderId="0" xfId="0" applyFont="1" applyBorder="1" applyAlignment="1">
      <alignment horizontal="left"/>
    </xf>
    <xf numFmtId="0" fontId="11" fillId="8" borderId="17" xfId="0" applyFont="1" applyFill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" fillId="12" borderId="0" xfId="0" applyFont="1" applyFill="1" applyBorder="1" applyAlignment="1">
      <alignment horizontal="center"/>
    </xf>
    <xf numFmtId="2" fontId="12" fillId="0" borderId="12" xfId="0" applyNumberFormat="1" applyFont="1" applyFill="1" applyBorder="1" applyAlignment="1">
      <alignment horizontal="center"/>
    </xf>
    <xf numFmtId="2" fontId="12" fillId="0" borderId="13" xfId="0" applyNumberFormat="1" applyFont="1" applyFill="1" applyBorder="1" applyAlignment="1">
      <alignment horizontal="center"/>
    </xf>
    <xf numFmtId="2" fontId="13" fillId="0" borderId="12" xfId="0" applyNumberFormat="1" applyFont="1" applyFill="1" applyBorder="1" applyAlignment="1">
      <alignment horizontal="center"/>
    </xf>
    <xf numFmtId="2" fontId="13" fillId="0" borderId="13" xfId="0" applyNumberFormat="1" applyFont="1" applyFill="1" applyBorder="1" applyAlignment="1">
      <alignment horizontal="center"/>
    </xf>
    <xf numFmtId="0" fontId="1" fillId="12" borderId="0" xfId="0" applyFont="1" applyFill="1" applyBorder="1" applyAlignment="1">
      <alignment horizontal="center"/>
    </xf>
    <xf numFmtId="2" fontId="12" fillId="0" borderId="12" xfId="0" applyNumberFormat="1" applyFont="1" applyFill="1" applyBorder="1" applyAlignment="1">
      <alignment horizontal="center" vertical="center"/>
    </xf>
    <xf numFmtId="2" fontId="12" fillId="0" borderId="13" xfId="0" applyNumberFormat="1" applyFont="1" applyFill="1" applyBorder="1" applyAlignment="1">
      <alignment horizontal="center" vertical="center"/>
    </xf>
    <xf numFmtId="2" fontId="12" fillId="0" borderId="21" xfId="0" applyNumberFormat="1" applyFont="1" applyFill="1" applyBorder="1" applyAlignment="1">
      <alignment horizontal="center"/>
    </xf>
    <xf numFmtId="0" fontId="11" fillId="8" borderId="17" xfId="0" applyFont="1" applyFill="1" applyBorder="1" applyAlignment="1">
      <alignment horizontal="center" vertical="center"/>
    </xf>
    <xf numFmtId="0" fontId="13" fillId="0" borderId="12" xfId="0" applyFont="1" applyFill="1" applyBorder="1" applyAlignment="1">
      <alignment horizontal="center"/>
    </xf>
    <xf numFmtId="0" fontId="13" fillId="0" borderId="21" xfId="0" applyFont="1" applyFill="1" applyBorder="1" applyAlignment="1">
      <alignment horizontal="center"/>
    </xf>
    <xf numFmtId="0" fontId="13" fillId="0" borderId="13" xfId="0" applyFont="1" applyFill="1" applyBorder="1" applyAlignment="1">
      <alignment horizontal="center"/>
    </xf>
    <xf numFmtId="2" fontId="12" fillId="0" borderId="21" xfId="0" applyNumberFormat="1" applyFont="1" applyFill="1" applyBorder="1" applyAlignment="1">
      <alignment horizontal="center" vertical="center"/>
    </xf>
    <xf numFmtId="0" fontId="9" fillId="0" borderId="0" xfId="0" applyFont="1" applyBorder="1" applyAlignment="1">
      <alignment vertical="center"/>
    </xf>
    <xf numFmtId="0" fontId="9" fillId="0" borderId="0" xfId="0" applyFont="1" applyBorder="1" applyAlignment="1">
      <alignment vertical="center" wrapText="1"/>
    </xf>
    <xf numFmtId="0" fontId="6" fillId="5" borderId="8" xfId="0" applyFont="1" applyFill="1" applyBorder="1" applyAlignment="1" applyProtection="1"/>
    <xf numFmtId="2" fontId="6" fillId="5" borderId="8" xfId="0" applyNumberFormat="1" applyFont="1" applyFill="1" applyBorder="1" applyAlignment="1" applyProtection="1"/>
    <xf numFmtId="0" fontId="21" fillId="5" borderId="8" xfId="0" applyFont="1" applyFill="1" applyBorder="1" applyAlignment="1" applyProtection="1">
      <alignment horizontal="center"/>
    </xf>
    <xf numFmtId="49" fontId="9" fillId="0" borderId="0" xfId="0" applyNumberFormat="1" applyFont="1" applyBorder="1" applyAlignment="1">
      <alignment horizontal="left" vertical="center"/>
    </xf>
    <xf numFmtId="0" fontId="23" fillId="0" borderId="23" xfId="0" applyFont="1" applyBorder="1" applyAlignment="1">
      <alignment horizontal="left" vertical="center" wrapText="1"/>
    </xf>
    <xf numFmtId="0" fontId="33" fillId="0" borderId="23" xfId="0" applyFont="1" applyBorder="1" applyAlignment="1">
      <alignment horizontal="center" vertical="center"/>
    </xf>
    <xf numFmtId="2" fontId="6" fillId="5" borderId="8" xfId="0" applyNumberFormat="1" applyFont="1" applyFill="1" applyBorder="1" applyAlignment="1" applyProtection="1">
      <alignment horizontal="right"/>
    </xf>
    <xf numFmtId="0" fontId="7" fillId="0" borderId="23" xfId="0" applyFont="1" applyFill="1" applyBorder="1" applyAlignment="1">
      <alignment horizontal="center"/>
    </xf>
    <xf numFmtId="0" fontId="34" fillId="0" borderId="23" xfId="0" applyFont="1" applyBorder="1" applyAlignment="1">
      <alignment horizontal="center" vertical="center" wrapText="1"/>
    </xf>
    <xf numFmtId="166" fontId="24" fillId="0" borderId="0" xfId="0" applyNumberFormat="1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9" fillId="0" borderId="0" xfId="0" applyFont="1" applyBorder="1" applyAlignment="1">
      <alignment horizontal="left" vertical="center"/>
    </xf>
    <xf numFmtId="0" fontId="13" fillId="0" borderId="12" xfId="0" applyFont="1" applyFill="1" applyBorder="1" applyAlignment="1">
      <alignment horizontal="left"/>
    </xf>
    <xf numFmtId="0" fontId="13" fillId="0" borderId="21" xfId="0" applyFont="1" applyFill="1" applyBorder="1" applyAlignment="1">
      <alignment horizontal="left"/>
    </xf>
    <xf numFmtId="0" fontId="14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horizontal="left" vertical="center" wrapText="1"/>
    </xf>
    <xf numFmtId="0" fontId="9" fillId="0" borderId="26" xfId="0" applyFont="1" applyBorder="1" applyAlignment="1">
      <alignment horizontal="left" vertical="center" wrapText="1"/>
    </xf>
    <xf numFmtId="0" fontId="14" fillId="0" borderId="20" xfId="0" applyFont="1" applyBorder="1" applyAlignment="1">
      <alignment horizontal="center" vertical="center"/>
    </xf>
    <xf numFmtId="0" fontId="14" fillId="0" borderId="16" xfId="0" applyFont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12" fillId="0" borderId="10" xfId="0" applyFont="1" applyFill="1" applyBorder="1" applyAlignment="1">
      <alignment horizontal="center" vertical="center"/>
    </xf>
    <xf numFmtId="0" fontId="13" fillId="0" borderId="13" xfId="0" applyFont="1" applyFill="1" applyBorder="1" applyAlignment="1">
      <alignment horizontal="left"/>
    </xf>
    <xf numFmtId="0" fontId="24" fillId="0" borderId="2" xfId="0" applyFont="1" applyBorder="1" applyAlignment="1">
      <alignment horizontal="left"/>
    </xf>
    <xf numFmtId="0" fontId="24" fillId="0" borderId="3" xfId="0" applyFont="1" applyBorder="1" applyAlignment="1">
      <alignment horizontal="left"/>
    </xf>
    <xf numFmtId="0" fontId="24" fillId="0" borderId="4" xfId="0" applyFont="1" applyBorder="1" applyAlignment="1">
      <alignment horizontal="left"/>
    </xf>
    <xf numFmtId="42" fontId="23" fillId="0" borderId="23" xfId="0" applyNumberFormat="1" applyFont="1" applyBorder="1" applyAlignment="1">
      <alignment horizontal="center"/>
    </xf>
    <xf numFmtId="2" fontId="12" fillId="0" borderId="12" xfId="0" applyNumberFormat="1" applyFont="1" applyFill="1" applyBorder="1" applyAlignment="1">
      <alignment horizontal="center"/>
    </xf>
    <xf numFmtId="2" fontId="12" fillId="0" borderId="13" xfId="0" applyNumberFormat="1" applyFont="1" applyFill="1" applyBorder="1" applyAlignment="1">
      <alignment horizontal="center"/>
    </xf>
    <xf numFmtId="2" fontId="13" fillId="0" borderId="12" xfId="0" applyNumberFormat="1" applyFont="1" applyFill="1" applyBorder="1" applyAlignment="1">
      <alignment horizontal="center"/>
    </xf>
    <xf numFmtId="2" fontId="13" fillId="0" borderId="13" xfId="0" applyNumberFormat="1" applyFont="1" applyFill="1" applyBorder="1" applyAlignment="1">
      <alignment horizontal="center"/>
    </xf>
    <xf numFmtId="0" fontId="28" fillId="12" borderId="0" xfId="0" applyFont="1" applyFill="1" applyAlignment="1">
      <alignment horizontal="center"/>
    </xf>
    <xf numFmtId="0" fontId="0" fillId="0" borderId="0" xfId="0" applyFont="1" applyBorder="1" applyAlignment="1">
      <alignment horizontal="right"/>
    </xf>
    <xf numFmtId="42" fontId="10" fillId="0" borderId="12" xfId="0" applyNumberFormat="1" applyFont="1" applyFill="1" applyBorder="1" applyAlignment="1">
      <alignment horizontal="center"/>
    </xf>
    <xf numFmtId="0" fontId="10" fillId="0" borderId="21" xfId="0" applyFont="1" applyFill="1" applyBorder="1" applyAlignment="1">
      <alignment horizontal="center"/>
    </xf>
    <xf numFmtId="0" fontId="10" fillId="0" borderId="13" xfId="0" applyFont="1" applyFill="1" applyBorder="1" applyAlignment="1">
      <alignment horizontal="center"/>
    </xf>
    <xf numFmtId="0" fontId="7" fillId="0" borderId="0" xfId="0" applyFont="1" applyBorder="1" applyAlignment="1">
      <alignment horizontal="left"/>
    </xf>
    <xf numFmtId="0" fontId="0" fillId="0" borderId="8" xfId="0" applyBorder="1" applyAlignment="1">
      <alignment horizontal="center"/>
    </xf>
    <xf numFmtId="0" fontId="1" fillId="11" borderId="0" xfId="0" applyFont="1" applyFill="1" applyBorder="1" applyAlignment="1">
      <alignment horizontal="left"/>
    </xf>
    <xf numFmtId="0" fontId="1" fillId="12" borderId="0" xfId="0" applyFont="1" applyFill="1" applyBorder="1" applyAlignment="1">
      <alignment horizontal="center"/>
    </xf>
    <xf numFmtId="2" fontId="13" fillId="0" borderId="15" xfId="0" applyNumberFormat="1" applyFont="1" applyFill="1" applyBorder="1" applyAlignment="1">
      <alignment horizontal="center" vertical="center"/>
    </xf>
    <xf numFmtId="2" fontId="13" fillId="0" borderId="16" xfId="0" applyNumberFormat="1" applyFont="1" applyFill="1" applyBorder="1" applyAlignment="1">
      <alignment horizontal="center" vertical="center"/>
    </xf>
    <xf numFmtId="2" fontId="13" fillId="0" borderId="18" xfId="0" applyNumberFormat="1" applyFont="1" applyFill="1" applyBorder="1" applyAlignment="1">
      <alignment horizontal="center" vertical="center"/>
    </xf>
    <xf numFmtId="2" fontId="13" fillId="0" borderId="19" xfId="0" applyNumberFormat="1" applyFont="1" applyFill="1" applyBorder="1" applyAlignment="1">
      <alignment horizontal="center" vertical="center"/>
    </xf>
    <xf numFmtId="2" fontId="13" fillId="0" borderId="12" xfId="0" applyNumberFormat="1" applyFont="1" applyFill="1" applyBorder="1" applyAlignment="1">
      <alignment horizontal="center" vertical="center"/>
    </xf>
    <xf numFmtId="2" fontId="13" fillId="0" borderId="13" xfId="0" applyNumberFormat="1" applyFont="1" applyFill="1" applyBorder="1" applyAlignment="1">
      <alignment horizontal="center" vertical="center"/>
    </xf>
    <xf numFmtId="164" fontId="13" fillId="0" borderId="12" xfId="0" applyNumberFormat="1" applyFont="1" applyFill="1" applyBorder="1" applyAlignment="1">
      <alignment horizontal="center" vertical="center"/>
    </xf>
    <xf numFmtId="164" fontId="13" fillId="0" borderId="13" xfId="0" applyNumberFormat="1" applyFont="1" applyFill="1" applyBorder="1" applyAlignment="1">
      <alignment horizontal="center" vertical="center"/>
    </xf>
    <xf numFmtId="0" fontId="10" fillId="7" borderId="12" xfId="0" applyFont="1" applyFill="1" applyBorder="1" applyAlignment="1">
      <alignment horizontal="center"/>
    </xf>
    <xf numFmtId="0" fontId="10" fillId="7" borderId="13" xfId="0" applyFont="1" applyFill="1" applyBorder="1" applyAlignment="1">
      <alignment horizontal="center"/>
    </xf>
    <xf numFmtId="2" fontId="13" fillId="0" borderId="25" xfId="0" applyNumberFormat="1" applyFont="1" applyFill="1" applyBorder="1" applyAlignment="1">
      <alignment horizontal="center" vertical="center"/>
    </xf>
    <xf numFmtId="2" fontId="13" fillId="0" borderId="26" xfId="0" applyNumberFormat="1" applyFont="1" applyFill="1" applyBorder="1" applyAlignment="1">
      <alignment horizontal="center" vertical="center"/>
    </xf>
    <xf numFmtId="2" fontId="12" fillId="0" borderId="12" xfId="0" applyNumberFormat="1" applyFont="1" applyFill="1" applyBorder="1" applyAlignment="1">
      <alignment horizontal="center" vertical="center"/>
    </xf>
    <xf numFmtId="2" fontId="12" fillId="0" borderId="13" xfId="0" applyNumberFormat="1" applyFont="1" applyFill="1" applyBorder="1" applyAlignment="1">
      <alignment horizontal="center" vertical="center"/>
    </xf>
    <xf numFmtId="0" fontId="0" fillId="0" borderId="31" xfId="0" applyBorder="1" applyAlignment="1">
      <alignment horizontal="center"/>
    </xf>
    <xf numFmtId="0" fontId="5" fillId="2" borderId="2" xfId="0" applyFont="1" applyFill="1" applyBorder="1" applyAlignment="1">
      <alignment horizontal="left"/>
    </xf>
    <xf numFmtId="0" fontId="5" fillId="2" borderId="3" xfId="0" applyFont="1" applyFill="1" applyBorder="1" applyAlignment="1">
      <alignment horizontal="left"/>
    </xf>
    <xf numFmtId="0" fontId="5" fillId="2" borderId="4" xfId="0" applyFont="1" applyFill="1" applyBorder="1" applyAlignment="1">
      <alignment horizontal="left"/>
    </xf>
    <xf numFmtId="0" fontId="10" fillId="7" borderId="21" xfId="0" applyFont="1" applyFill="1" applyBorder="1" applyAlignment="1">
      <alignment horizontal="center"/>
    </xf>
    <xf numFmtId="0" fontId="12" fillId="0" borderId="10" xfId="0" applyFont="1" applyFill="1" applyBorder="1" applyAlignment="1">
      <alignment horizontal="left" vertical="center"/>
    </xf>
    <xf numFmtId="0" fontId="12" fillId="0" borderId="19" xfId="0" applyFont="1" applyFill="1" applyBorder="1" applyAlignment="1">
      <alignment horizontal="left" vertical="center"/>
    </xf>
    <xf numFmtId="2" fontId="12" fillId="0" borderId="21" xfId="0" applyNumberFormat="1" applyFont="1" applyFill="1" applyBorder="1" applyAlignment="1">
      <alignment horizontal="center"/>
    </xf>
    <xf numFmtId="0" fontId="6" fillId="4" borderId="27" xfId="0" applyFont="1" applyFill="1" applyBorder="1" applyAlignment="1" applyProtection="1">
      <alignment horizontal="left"/>
      <protection locked="0"/>
    </xf>
    <xf numFmtId="0" fontId="6" fillId="4" borderId="28" xfId="0" applyFont="1" applyFill="1" applyBorder="1" applyAlignment="1" applyProtection="1">
      <alignment horizontal="left"/>
      <protection locked="0"/>
    </xf>
    <xf numFmtId="0" fontId="6" fillId="4" borderId="5" xfId="0" applyFont="1" applyFill="1" applyBorder="1" applyAlignment="1" applyProtection="1">
      <alignment horizontal="left"/>
      <protection locked="0"/>
    </xf>
    <xf numFmtId="0" fontId="6" fillId="4" borderId="0" xfId="0" applyFont="1" applyFill="1" applyBorder="1" applyAlignment="1" applyProtection="1">
      <alignment horizontal="left"/>
      <protection locked="0"/>
    </xf>
    <xf numFmtId="0" fontId="6" fillId="5" borderId="5" xfId="0" applyFont="1" applyFill="1" applyBorder="1" applyAlignment="1" applyProtection="1">
      <alignment horizontal="left"/>
    </xf>
    <xf numFmtId="0" fontId="6" fillId="5" borderId="0" xfId="0" applyFont="1" applyFill="1" applyBorder="1" applyAlignment="1" applyProtection="1">
      <alignment horizontal="left"/>
    </xf>
    <xf numFmtId="0" fontId="7" fillId="0" borderId="28" xfId="0" applyFont="1" applyBorder="1" applyAlignment="1">
      <alignment horizontal="left"/>
    </xf>
    <xf numFmtId="0" fontId="7" fillId="0" borderId="29" xfId="0" applyFont="1" applyBorder="1" applyAlignment="1">
      <alignment horizontal="left"/>
    </xf>
    <xf numFmtId="0" fontId="7" fillId="0" borderId="6" xfId="0" applyFont="1" applyBorder="1" applyAlignment="1">
      <alignment horizontal="left"/>
    </xf>
    <xf numFmtId="0" fontId="6" fillId="5" borderId="7" xfId="0" applyFont="1" applyFill="1" applyBorder="1" applyAlignment="1" applyProtection="1">
      <alignment horizontal="left"/>
    </xf>
    <xf numFmtId="0" fontId="6" fillId="5" borderId="8" xfId="0" applyFont="1" applyFill="1" applyBorder="1" applyAlignment="1" applyProtection="1">
      <alignment horizontal="left"/>
    </xf>
    <xf numFmtId="0" fontId="11" fillId="8" borderId="14" xfId="0" applyFont="1" applyFill="1" applyBorder="1" applyAlignment="1">
      <alignment horizontal="center" vertical="center"/>
    </xf>
    <xf numFmtId="0" fontId="11" fillId="8" borderId="24" xfId="0" applyFont="1" applyFill="1" applyBorder="1" applyAlignment="1">
      <alignment horizontal="center" vertical="center"/>
    </xf>
    <xf numFmtId="0" fontId="11" fillId="8" borderId="17" xfId="0" applyFont="1" applyFill="1" applyBorder="1" applyAlignment="1">
      <alignment horizontal="center" vertical="center"/>
    </xf>
    <xf numFmtId="0" fontId="12" fillId="0" borderId="15" xfId="0" applyFont="1" applyFill="1" applyBorder="1" applyAlignment="1">
      <alignment horizontal="left"/>
    </xf>
    <xf numFmtId="0" fontId="12" fillId="0" borderId="20" xfId="0" applyFont="1" applyFill="1" applyBorder="1" applyAlignment="1">
      <alignment horizontal="left"/>
    </xf>
    <xf numFmtId="42" fontId="13" fillId="0" borderId="12" xfId="0" applyNumberFormat="1" applyFont="1" applyFill="1" applyBorder="1" applyAlignment="1">
      <alignment horizontal="center" vertical="center"/>
    </xf>
    <xf numFmtId="42" fontId="13" fillId="0" borderId="21" xfId="0" applyNumberFormat="1" applyFont="1" applyFill="1" applyBorder="1" applyAlignment="1">
      <alignment horizontal="center" vertical="center"/>
    </xf>
    <xf numFmtId="42" fontId="13" fillId="0" borderId="13" xfId="0" applyNumberFormat="1" applyFont="1" applyFill="1" applyBorder="1" applyAlignment="1">
      <alignment horizontal="center" vertical="center"/>
    </xf>
    <xf numFmtId="42" fontId="13" fillId="11" borderId="12" xfId="0" applyNumberFormat="1" applyFont="1" applyFill="1" applyBorder="1" applyAlignment="1">
      <alignment horizontal="right" vertical="center"/>
    </xf>
    <xf numFmtId="42" fontId="13" fillId="11" borderId="21" xfId="0" applyNumberFormat="1" applyFont="1" applyFill="1" applyBorder="1" applyAlignment="1">
      <alignment horizontal="right" vertical="center"/>
    </xf>
    <xf numFmtId="42" fontId="13" fillId="11" borderId="13" xfId="0" applyNumberFormat="1" applyFont="1" applyFill="1" applyBorder="1" applyAlignment="1">
      <alignment horizontal="right" vertical="center"/>
    </xf>
    <xf numFmtId="0" fontId="12" fillId="0" borderId="0" xfId="0" applyFont="1" applyFill="1" applyBorder="1" applyAlignment="1">
      <alignment horizontal="left" vertical="center"/>
    </xf>
    <xf numFmtId="0" fontId="12" fillId="0" borderId="26" xfId="0" applyFont="1" applyFill="1" applyBorder="1" applyAlignment="1">
      <alignment horizontal="left" vertical="center"/>
    </xf>
    <xf numFmtId="42" fontId="12" fillId="0" borderId="12" xfId="0" applyNumberFormat="1" applyFont="1" applyFill="1" applyBorder="1" applyAlignment="1">
      <alignment horizontal="center" vertical="center"/>
    </xf>
    <xf numFmtId="42" fontId="12" fillId="0" borderId="21" xfId="0" applyNumberFormat="1" applyFont="1" applyFill="1" applyBorder="1" applyAlignment="1">
      <alignment horizontal="center" vertical="center"/>
    </xf>
    <xf numFmtId="42" fontId="12" fillId="0" borderId="13" xfId="0" applyNumberFormat="1" applyFont="1" applyFill="1" applyBorder="1" applyAlignment="1">
      <alignment horizontal="center" vertical="center"/>
    </xf>
    <xf numFmtId="0" fontId="12" fillId="0" borderId="12" xfId="0" applyFont="1" applyFill="1" applyBorder="1" applyAlignment="1">
      <alignment horizontal="left" vertical="center" wrapText="1"/>
    </xf>
    <xf numFmtId="0" fontId="12" fillId="0" borderId="21" xfId="0" applyFont="1" applyFill="1" applyBorder="1" applyAlignment="1">
      <alignment horizontal="left" vertical="center" wrapText="1"/>
    </xf>
    <xf numFmtId="0" fontId="12" fillId="0" borderId="13" xfId="0" applyFont="1" applyFill="1" applyBorder="1" applyAlignment="1">
      <alignment horizontal="left" vertical="center" wrapText="1"/>
    </xf>
    <xf numFmtId="0" fontId="6" fillId="5" borderId="6" xfId="0" applyFont="1" applyFill="1" applyBorder="1" applyAlignment="1" applyProtection="1">
      <alignment horizontal="left"/>
    </xf>
    <xf numFmtId="0" fontId="35" fillId="0" borderId="0" xfId="0" applyFont="1" applyBorder="1" applyAlignment="1">
      <alignment horizontal="left"/>
    </xf>
    <xf numFmtId="42" fontId="10" fillId="0" borderId="12" xfId="0" applyNumberFormat="1" applyFont="1" applyFill="1" applyBorder="1" applyAlignment="1">
      <alignment horizontal="center" vertical="center"/>
    </xf>
    <xf numFmtId="0" fontId="10" fillId="0" borderId="21" xfId="0" applyFont="1" applyFill="1" applyBorder="1" applyAlignment="1">
      <alignment horizontal="center" vertical="center"/>
    </xf>
    <xf numFmtId="0" fontId="10" fillId="0" borderId="13" xfId="0" applyFont="1" applyFill="1" applyBorder="1" applyAlignment="1">
      <alignment horizontal="center" vertical="center"/>
    </xf>
    <xf numFmtId="0" fontId="13" fillId="0" borderId="12" xfId="0" applyFont="1" applyFill="1" applyBorder="1" applyAlignment="1">
      <alignment horizontal="center"/>
    </xf>
    <xf numFmtId="0" fontId="13" fillId="0" borderId="21" xfId="0" applyFont="1" applyFill="1" applyBorder="1" applyAlignment="1">
      <alignment horizontal="center"/>
    </xf>
    <xf numFmtId="0" fontId="13" fillId="0" borderId="13" xfId="0" applyFont="1" applyFill="1" applyBorder="1" applyAlignment="1">
      <alignment horizontal="center"/>
    </xf>
    <xf numFmtId="2" fontId="12" fillId="0" borderId="21" xfId="0" applyNumberFormat="1" applyFont="1" applyFill="1" applyBorder="1" applyAlignment="1">
      <alignment horizontal="center" vertical="center"/>
    </xf>
    <xf numFmtId="0" fontId="22" fillId="0" borderId="12" xfId="0" applyFont="1" applyBorder="1" applyAlignment="1">
      <alignment horizontal="right" vertical="center"/>
    </xf>
    <xf numFmtId="0" fontId="22" fillId="0" borderId="21" xfId="0" applyFont="1" applyBorder="1" applyAlignment="1">
      <alignment horizontal="right" vertical="center"/>
    </xf>
    <xf numFmtId="0" fontId="22" fillId="0" borderId="13" xfId="0" applyFont="1" applyBorder="1" applyAlignment="1">
      <alignment horizontal="right" vertical="center"/>
    </xf>
    <xf numFmtId="0" fontId="10" fillId="0" borderId="12" xfId="0" applyFont="1" applyFill="1" applyBorder="1" applyAlignment="1">
      <alignment horizontal="right"/>
    </xf>
    <xf numFmtId="0" fontId="10" fillId="0" borderId="21" xfId="0" applyFont="1" applyFill="1" applyBorder="1" applyAlignment="1">
      <alignment horizontal="right"/>
    </xf>
    <xf numFmtId="0" fontId="10" fillId="0" borderId="13" xfId="0" applyFont="1" applyFill="1" applyBorder="1" applyAlignment="1">
      <alignment horizontal="right"/>
    </xf>
    <xf numFmtId="166" fontId="0" fillId="0" borderId="0" xfId="0" applyNumberFormat="1" applyFont="1" applyBorder="1" applyAlignment="1">
      <alignment horizontal="left"/>
    </xf>
    <xf numFmtId="0" fontId="29" fillId="0" borderId="0" xfId="0" applyFont="1" applyBorder="1" applyAlignment="1">
      <alignment horizontal="left"/>
    </xf>
    <xf numFmtId="42" fontId="30" fillId="0" borderId="0" xfId="0" applyNumberFormat="1" applyFont="1" applyBorder="1" applyAlignment="1">
      <alignment horizontal="center"/>
    </xf>
    <xf numFmtId="0" fontId="29" fillId="11" borderId="0" xfId="0" applyFont="1" applyFill="1" applyBorder="1" applyAlignment="1">
      <alignment horizontal="left"/>
    </xf>
    <xf numFmtId="42" fontId="30" fillId="11" borderId="0" xfId="0" applyNumberFormat="1" applyFont="1" applyFill="1" applyBorder="1" applyAlignment="1">
      <alignment horizontal="center"/>
    </xf>
    <xf numFmtId="0" fontId="9" fillId="0" borderId="0" xfId="0" applyFont="1" applyBorder="1" applyAlignment="1">
      <alignment horizontal="center" vertical="center" wrapText="1"/>
    </xf>
    <xf numFmtId="0" fontId="13" fillId="0" borderId="15" xfId="0" applyFont="1" applyFill="1" applyBorder="1" applyAlignment="1">
      <alignment horizontal="left"/>
    </xf>
    <xf numFmtId="0" fontId="13" fillId="0" borderId="20" xfId="0" applyFont="1" applyFill="1" applyBorder="1" applyAlignment="1">
      <alignment horizontal="left"/>
    </xf>
    <xf numFmtId="0" fontId="13" fillId="0" borderId="16" xfId="0" applyFont="1" applyFill="1" applyBorder="1" applyAlignment="1">
      <alignment horizontal="left"/>
    </xf>
    <xf numFmtId="0" fontId="13" fillId="0" borderId="25" xfId="0" applyFont="1" applyFill="1" applyBorder="1" applyAlignment="1">
      <alignment horizontal="left" vertical="center" wrapText="1"/>
    </xf>
    <xf numFmtId="0" fontId="13" fillId="0" borderId="0" xfId="0" applyFont="1" applyFill="1" applyBorder="1" applyAlignment="1">
      <alignment horizontal="left" vertical="center" wrapText="1"/>
    </xf>
    <xf numFmtId="0" fontId="13" fillId="0" borderId="26" xfId="0" applyFont="1" applyFill="1" applyBorder="1" applyAlignment="1">
      <alignment horizontal="left" vertical="center" wrapText="1"/>
    </xf>
    <xf numFmtId="0" fontId="13" fillId="0" borderId="15" xfId="0" applyFont="1" applyFill="1" applyBorder="1" applyAlignment="1">
      <alignment horizontal="left" vertical="center" wrapText="1"/>
    </xf>
    <xf numFmtId="0" fontId="13" fillId="0" borderId="20" xfId="0" applyFont="1" applyFill="1" applyBorder="1" applyAlignment="1">
      <alignment horizontal="left" vertical="center" wrapText="1"/>
    </xf>
    <xf numFmtId="0" fontId="13" fillId="0" borderId="16" xfId="0" applyFont="1" applyFill="1" applyBorder="1" applyAlignment="1">
      <alignment horizontal="left" vertical="center" wrapText="1"/>
    </xf>
    <xf numFmtId="0" fontId="13" fillId="0" borderId="18" xfId="0" applyFont="1" applyFill="1" applyBorder="1" applyAlignment="1">
      <alignment horizontal="left" vertical="center" wrapText="1"/>
    </xf>
    <xf numFmtId="0" fontId="13" fillId="0" borderId="10" xfId="0" applyFont="1" applyFill="1" applyBorder="1" applyAlignment="1">
      <alignment horizontal="left" vertical="center" wrapText="1"/>
    </xf>
    <xf numFmtId="0" fontId="13" fillId="0" borderId="19" xfId="0" applyFont="1" applyFill="1" applyBorder="1" applyAlignment="1">
      <alignment horizontal="left" vertical="center" wrapText="1"/>
    </xf>
    <xf numFmtId="42" fontId="13" fillId="11" borderId="12" xfId="0" applyNumberFormat="1" applyFont="1" applyFill="1" applyBorder="1" applyAlignment="1">
      <alignment horizontal="center"/>
    </xf>
    <xf numFmtId="42" fontId="13" fillId="11" borderId="21" xfId="0" applyNumberFormat="1" applyFont="1" applyFill="1" applyBorder="1" applyAlignment="1">
      <alignment horizontal="center"/>
    </xf>
    <xf numFmtId="42" fontId="13" fillId="11" borderId="13" xfId="0" applyNumberFormat="1" applyFont="1" applyFill="1" applyBorder="1" applyAlignment="1">
      <alignment horizontal="center"/>
    </xf>
    <xf numFmtId="42" fontId="13" fillId="0" borderId="12" xfId="0" applyNumberFormat="1" applyFont="1" applyFill="1" applyBorder="1" applyAlignment="1">
      <alignment horizontal="center"/>
    </xf>
    <xf numFmtId="42" fontId="13" fillId="0" borderId="21" xfId="0" applyNumberFormat="1" applyFont="1" applyFill="1" applyBorder="1" applyAlignment="1">
      <alignment horizontal="center"/>
    </xf>
    <xf numFmtId="42" fontId="13" fillId="0" borderId="13" xfId="0" applyNumberFormat="1" applyFont="1" applyFill="1" applyBorder="1" applyAlignment="1">
      <alignment horizontal="center"/>
    </xf>
    <xf numFmtId="164" fontId="13" fillId="0" borderId="18" xfId="0" applyNumberFormat="1" applyFont="1" applyFill="1" applyBorder="1" applyAlignment="1">
      <alignment horizontal="left" vertical="center"/>
    </xf>
    <xf numFmtId="164" fontId="13" fillId="0" borderId="10" xfId="0" applyNumberFormat="1" applyFont="1" applyFill="1" applyBorder="1" applyAlignment="1">
      <alignment horizontal="left" vertical="center"/>
    </xf>
    <xf numFmtId="164" fontId="13" fillId="0" borderId="19" xfId="0" applyNumberFormat="1" applyFont="1" applyFill="1" applyBorder="1" applyAlignment="1">
      <alignment horizontal="left" vertical="center"/>
    </xf>
    <xf numFmtId="0" fontId="13" fillId="0" borderId="12" xfId="0" applyFont="1" applyFill="1" applyBorder="1" applyAlignment="1">
      <alignment horizontal="left" vertical="center" wrapText="1"/>
    </xf>
    <xf numFmtId="0" fontId="13" fillId="0" borderId="21" xfId="0" applyFont="1" applyFill="1" applyBorder="1" applyAlignment="1">
      <alignment horizontal="left" vertical="center" wrapText="1"/>
    </xf>
    <xf numFmtId="0" fontId="13" fillId="0" borderId="13" xfId="0" applyFont="1" applyFill="1" applyBorder="1" applyAlignment="1">
      <alignment horizontal="left" vertical="center" wrapText="1"/>
    </xf>
    <xf numFmtId="0" fontId="13" fillId="0" borderId="12" xfId="0" applyFont="1" applyFill="1" applyBorder="1" applyAlignment="1">
      <alignment horizontal="left" vertical="center"/>
    </xf>
    <xf numFmtId="0" fontId="13" fillId="0" borderId="21" xfId="0" applyFont="1" applyFill="1" applyBorder="1" applyAlignment="1">
      <alignment horizontal="left" vertical="center"/>
    </xf>
    <xf numFmtId="0" fontId="13" fillId="0" borderId="13" xfId="0" applyFont="1" applyFill="1" applyBorder="1" applyAlignment="1">
      <alignment horizontal="left" vertical="center"/>
    </xf>
    <xf numFmtId="0" fontId="12" fillId="0" borderId="15" xfId="0" applyFont="1" applyFill="1" applyBorder="1" applyAlignment="1">
      <alignment horizontal="left" vertical="center" wrapText="1"/>
    </xf>
    <xf numFmtId="0" fontId="12" fillId="0" borderId="20" xfId="0" applyFont="1" applyFill="1" applyBorder="1" applyAlignment="1">
      <alignment horizontal="left" vertical="center" wrapText="1"/>
    </xf>
    <xf numFmtId="0" fontId="12" fillId="0" borderId="16" xfId="0" applyFont="1" applyFill="1" applyBorder="1" applyAlignment="1">
      <alignment horizontal="left" vertical="center" wrapText="1"/>
    </xf>
    <xf numFmtId="0" fontId="12" fillId="0" borderId="18" xfId="0" applyFont="1" applyFill="1" applyBorder="1" applyAlignment="1">
      <alignment horizontal="left" vertical="center" wrapText="1"/>
    </xf>
    <xf numFmtId="0" fontId="12" fillId="0" borderId="10" xfId="0" applyFont="1" applyFill="1" applyBorder="1" applyAlignment="1">
      <alignment horizontal="left" vertical="center" wrapText="1"/>
    </xf>
    <xf numFmtId="0" fontId="12" fillId="0" borderId="19" xfId="0" applyFont="1" applyFill="1" applyBorder="1" applyAlignment="1">
      <alignment horizontal="left" vertical="center" wrapText="1"/>
    </xf>
    <xf numFmtId="0" fontId="4" fillId="3" borderId="3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center"/>
    </xf>
    <xf numFmtId="0" fontId="9" fillId="0" borderId="0" xfId="0" applyFont="1" applyBorder="1" applyAlignment="1">
      <alignment vertical="center"/>
    </xf>
    <xf numFmtId="0" fontId="16" fillId="0" borderId="12" xfId="0" applyFont="1" applyBorder="1" applyAlignment="1">
      <alignment horizontal="left"/>
    </xf>
    <xf numFmtId="0" fontId="16" fillId="0" borderId="21" xfId="0" applyFont="1" applyBorder="1" applyAlignment="1">
      <alignment horizontal="left"/>
    </xf>
    <xf numFmtId="0" fontId="16" fillId="0" borderId="13" xfId="0" applyFont="1" applyBorder="1" applyAlignment="1">
      <alignment horizontal="left"/>
    </xf>
    <xf numFmtId="0" fontId="10" fillId="0" borderId="12" xfId="0" applyFont="1" applyFill="1" applyBorder="1" applyAlignment="1">
      <alignment horizontal="right" vertical="center"/>
    </xf>
    <xf numFmtId="0" fontId="10" fillId="0" borderId="21" xfId="0" applyFont="1" applyFill="1" applyBorder="1" applyAlignment="1">
      <alignment horizontal="right" vertical="center"/>
    </xf>
    <xf numFmtId="0" fontId="10" fillId="0" borderId="13" xfId="0" applyFont="1" applyFill="1" applyBorder="1" applyAlignment="1">
      <alignment horizontal="right" vertical="center"/>
    </xf>
    <xf numFmtId="0" fontId="7" fillId="0" borderId="8" xfId="0" applyFont="1" applyBorder="1" applyAlignment="1">
      <alignment horizontal="left"/>
    </xf>
    <xf numFmtId="42" fontId="13" fillId="0" borderId="15" xfId="0" applyNumberFormat="1" applyFont="1" applyFill="1" applyBorder="1" applyAlignment="1">
      <alignment horizontal="center" vertical="center"/>
    </xf>
    <xf numFmtId="42" fontId="13" fillId="0" borderId="20" xfId="0" applyNumberFormat="1" applyFont="1" applyFill="1" applyBorder="1" applyAlignment="1">
      <alignment horizontal="center" vertical="center"/>
    </xf>
    <xf numFmtId="42" fontId="13" fillId="0" borderId="16" xfId="0" applyNumberFormat="1" applyFont="1" applyFill="1" applyBorder="1" applyAlignment="1">
      <alignment horizontal="center" vertical="center"/>
    </xf>
    <xf numFmtId="42" fontId="13" fillId="0" borderId="25" xfId="0" applyNumberFormat="1" applyFont="1" applyFill="1" applyBorder="1" applyAlignment="1">
      <alignment horizontal="center" vertical="center"/>
    </xf>
    <xf numFmtId="42" fontId="13" fillId="0" borderId="0" xfId="0" applyNumberFormat="1" applyFont="1" applyFill="1" applyBorder="1" applyAlignment="1">
      <alignment horizontal="center" vertical="center"/>
    </xf>
    <xf numFmtId="42" fontId="13" fillId="0" borderId="26" xfId="0" applyNumberFormat="1" applyFont="1" applyFill="1" applyBorder="1" applyAlignment="1">
      <alignment horizontal="center" vertical="center"/>
    </xf>
    <xf numFmtId="42" fontId="13" fillId="0" borderId="18" xfId="0" applyNumberFormat="1" applyFont="1" applyFill="1" applyBorder="1" applyAlignment="1">
      <alignment horizontal="center" vertical="center"/>
    </xf>
    <xf numFmtId="42" fontId="13" fillId="0" borderId="10" xfId="0" applyNumberFormat="1" applyFont="1" applyFill="1" applyBorder="1" applyAlignment="1">
      <alignment horizontal="center" vertical="center"/>
    </xf>
    <xf numFmtId="42" fontId="13" fillId="0" borderId="1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42" fontId="23" fillId="10" borderId="23" xfId="0" applyNumberFormat="1" applyFont="1" applyFill="1" applyBorder="1" applyAlignment="1">
      <alignment horizontal="center"/>
    </xf>
    <xf numFmtId="42" fontId="23" fillId="9" borderId="23" xfId="0" applyNumberFormat="1" applyFont="1" applyFill="1" applyBorder="1" applyAlignment="1">
      <alignment horizontal="center"/>
    </xf>
    <xf numFmtId="0" fontId="0" fillId="0" borderId="28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24" fillId="9" borderId="2" xfId="0" applyFont="1" applyFill="1" applyBorder="1" applyAlignment="1">
      <alignment horizontal="left"/>
    </xf>
    <xf numFmtId="0" fontId="24" fillId="9" borderId="3" xfId="0" applyFont="1" applyFill="1" applyBorder="1" applyAlignment="1">
      <alignment horizontal="left"/>
    </xf>
    <xf numFmtId="0" fontId="24" fillId="9" borderId="4" xfId="0" applyFont="1" applyFill="1" applyBorder="1" applyAlignment="1">
      <alignment horizontal="left"/>
    </xf>
    <xf numFmtId="0" fontId="0" fillId="0" borderId="23" xfId="0" applyBorder="1" applyAlignment="1">
      <alignment horizontal="center"/>
    </xf>
    <xf numFmtId="1" fontId="17" fillId="0" borderId="0" xfId="0" applyNumberFormat="1" applyFont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4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20</xdr:row>
          <xdr:rowOff>123825</xdr:rowOff>
        </xdr:from>
        <xdr:to>
          <xdr:col>7</xdr:col>
          <xdr:colOff>657225</xdr:colOff>
          <xdr:row>22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866775</xdr:colOff>
          <xdr:row>20</xdr:row>
          <xdr:rowOff>123825</xdr:rowOff>
        </xdr:from>
        <xdr:to>
          <xdr:col>8</xdr:col>
          <xdr:colOff>762000</xdr:colOff>
          <xdr:row>22</xdr:row>
          <xdr:rowOff>228600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76200</xdr:rowOff>
        </xdr:from>
        <xdr:to>
          <xdr:col>2</xdr:col>
          <xdr:colOff>476250</xdr:colOff>
          <xdr:row>7</xdr:row>
          <xdr:rowOff>47625</xdr:rowOff>
        </xdr:to>
        <xdr:sp macro="" textlink="">
          <xdr:nvSpPr>
            <xdr:cNvPr id="4100" name="CommandButton3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</xdr:col>
      <xdr:colOff>76200</xdr:colOff>
      <xdr:row>0</xdr:row>
      <xdr:rowOff>104775</xdr:rowOff>
    </xdr:from>
    <xdr:to>
      <xdr:col>2</xdr:col>
      <xdr:colOff>362191</xdr:colOff>
      <xdr:row>3</xdr:row>
      <xdr:rowOff>123907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104775"/>
          <a:ext cx="1724266" cy="590632"/>
        </a:xfrm>
        <a:prstGeom prst="rect">
          <a:avLst/>
        </a:prstGeom>
      </xdr:spPr>
    </xdr:pic>
    <xdr:clientData/>
  </xdr:twoCellAnchor>
  <xdr:oneCellAnchor>
    <xdr:from>
      <xdr:col>2</xdr:col>
      <xdr:colOff>533400</xdr:colOff>
      <xdr:row>0</xdr:row>
      <xdr:rowOff>133350</xdr:rowOff>
    </xdr:from>
    <xdr:ext cx="6032164" cy="593304"/>
    <xdr:sp macro="" textlink="">
      <xdr:nvSpPr>
        <xdr:cNvPr id="3" name="TextBox 2"/>
        <xdr:cNvSpPr txBox="1"/>
      </xdr:nvSpPr>
      <xdr:spPr>
        <a:xfrm>
          <a:off x="1971675" y="133350"/>
          <a:ext cx="6032164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3200"/>
            <a:t>APLIKASI QUOTATION LED</a:t>
          </a:r>
          <a:r>
            <a:rPr lang="en-GB" sz="3200" baseline="0"/>
            <a:t> INDOOR</a:t>
          </a:r>
          <a:endParaRPr lang="en-GB" sz="32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23812</xdr:colOff>
      <xdr:row>1</xdr:row>
      <xdr:rowOff>35719</xdr:rowOff>
    </xdr:from>
    <xdr:ext cx="1654320" cy="617134"/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37" r="6465" b="24219"/>
        <a:stretch/>
      </xdr:blipFill>
      <xdr:spPr>
        <a:xfrm>
          <a:off x="376237" y="952373794"/>
          <a:ext cx="1654320" cy="617134"/>
        </a:xfrm>
        <a:prstGeom prst="rect">
          <a:avLst/>
        </a:prstGeom>
      </xdr:spPr>
    </xdr:pic>
    <xdr:clientData/>
  </xdr:oneCellAnchor>
  <xdr:oneCellAnchor>
    <xdr:from>
      <xdr:col>1</xdr:col>
      <xdr:colOff>5953</xdr:colOff>
      <xdr:row>3</xdr:row>
      <xdr:rowOff>213122</xdr:rowOff>
    </xdr:from>
    <xdr:ext cx="1780552" cy="280205"/>
    <xdr:sp macro="" textlink="">
      <xdr:nvSpPr>
        <xdr:cNvPr id="3" name="TextBox 2"/>
        <xdr:cNvSpPr txBox="1"/>
      </xdr:nvSpPr>
      <xdr:spPr>
        <a:xfrm>
          <a:off x="358378" y="952951247"/>
          <a:ext cx="1780552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200" b="1"/>
            <a:t>CV. SANCON SOLUSINDO</a:t>
          </a:r>
        </a:p>
      </xdr:txBody>
    </xdr:sp>
    <xdr:clientData/>
  </xdr:oneCellAnchor>
  <xdr:oneCellAnchor>
    <xdr:from>
      <xdr:col>15</xdr:col>
      <xdr:colOff>2308</xdr:colOff>
      <xdr:row>46</xdr:row>
      <xdr:rowOff>65086</xdr:rowOff>
    </xdr:from>
    <xdr:ext cx="2121773" cy="866896"/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83833" y="8923336"/>
          <a:ext cx="2121773" cy="866896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352425</xdr:colOff>
          <xdr:row>0</xdr:row>
          <xdr:rowOff>114300</xdr:rowOff>
        </xdr:from>
        <xdr:to>
          <xdr:col>37</xdr:col>
          <xdr:colOff>352425</xdr:colOff>
          <xdr:row>3</xdr:row>
          <xdr:rowOff>9525</xdr:rowOff>
        </xdr:to>
        <xdr:sp macro="" textlink="">
          <xdr:nvSpPr>
            <xdr:cNvPr id="1057" name="CommandButton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oneCellAnchor>
    <xdr:from>
      <xdr:col>11</xdr:col>
      <xdr:colOff>473082</xdr:colOff>
      <xdr:row>6</xdr:row>
      <xdr:rowOff>171450</xdr:rowOff>
    </xdr:from>
    <xdr:ext cx="238126" cy="828175"/>
    <xdr:sp macro="" textlink="">
      <xdr:nvSpPr>
        <xdr:cNvPr id="6" name="TextBox 5"/>
        <xdr:cNvSpPr txBox="1"/>
      </xdr:nvSpPr>
      <xdr:spPr>
        <a:xfrm>
          <a:off x="3635382" y="1381125"/>
          <a:ext cx="238126" cy="8281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 b="1"/>
            <a:t>:</a:t>
          </a:r>
        </a:p>
        <a:p>
          <a:endParaRPr lang="en-GB" sz="100" b="1"/>
        </a:p>
        <a:p>
          <a:r>
            <a:rPr lang="en-GB" sz="1100" b="1"/>
            <a:t>:</a:t>
          </a:r>
        </a:p>
        <a:p>
          <a:endParaRPr lang="en-GB" sz="100" b="1"/>
        </a:p>
        <a:p>
          <a:r>
            <a:rPr lang="en-GB" sz="1100" b="1"/>
            <a:t>:</a:t>
          </a:r>
        </a:p>
        <a:p>
          <a:endParaRPr lang="en-GB" sz="100" b="1"/>
        </a:p>
        <a:p>
          <a:r>
            <a:rPr lang="en-GB" sz="1100" b="1"/>
            <a:t>:</a:t>
          </a:r>
        </a:p>
      </xdr:txBody>
    </xdr:sp>
    <xdr:clientData/>
  </xdr:oneCellAnchor>
  <xdr:twoCellAnchor>
    <xdr:from>
      <xdr:col>0</xdr:col>
      <xdr:colOff>19048</xdr:colOff>
      <xdr:row>36</xdr:row>
      <xdr:rowOff>228600</xdr:rowOff>
    </xdr:from>
    <xdr:to>
      <xdr:col>11</xdr:col>
      <xdr:colOff>536864</xdr:colOff>
      <xdr:row>47</xdr:row>
      <xdr:rowOff>104775</xdr:rowOff>
    </xdr:to>
    <xdr:sp macro="" textlink="">
      <xdr:nvSpPr>
        <xdr:cNvPr id="7" name="Rectangle 6"/>
        <xdr:cNvSpPr/>
      </xdr:nvSpPr>
      <xdr:spPr>
        <a:xfrm>
          <a:off x="19048" y="6948055"/>
          <a:ext cx="3687043" cy="2023629"/>
        </a:xfrm>
        <a:prstGeom prst="rect">
          <a:avLst/>
        </a:prstGeom>
        <a:noFill/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AB%204x6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B 4x6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J24"/>
  <sheetViews>
    <sheetView showGridLines="0" tabSelected="1" view="pageBreakPreview" zoomScaleNormal="100" zoomScaleSheetLayoutView="100" zoomScalePageLayoutView="90" workbookViewId="0">
      <selection activeCell="F16" sqref="F16"/>
    </sheetView>
  </sheetViews>
  <sheetFormatPr defaultColWidth="9.140625" defaultRowHeight="15" x14ac:dyDescent="0.25"/>
  <cols>
    <col min="1" max="1" width="5" customWidth="1"/>
    <col min="2" max="3" width="20.140625" customWidth="1"/>
    <col min="4" max="4" width="20.7109375" customWidth="1"/>
    <col min="5" max="5" width="7" customWidth="1"/>
    <col min="6" max="6" width="19.42578125" customWidth="1"/>
    <col min="7" max="7" width="5" customWidth="1"/>
    <col min="8" max="8" width="23.7109375" customWidth="1"/>
    <col min="9" max="9" width="41.5703125" customWidth="1"/>
    <col min="10" max="10" width="4.7109375" customWidth="1"/>
  </cols>
  <sheetData>
    <row r="1" spans="1:10" x14ac:dyDescent="0.25">
      <c r="A1" s="101"/>
      <c r="B1" s="102"/>
      <c r="C1" s="102"/>
      <c r="D1" s="102"/>
      <c r="E1" s="102"/>
      <c r="F1" s="102"/>
      <c r="G1" s="102"/>
      <c r="H1" s="102"/>
      <c r="I1" s="102"/>
      <c r="J1" s="103"/>
    </row>
    <row r="2" spans="1:10" x14ac:dyDescent="0.25">
      <c r="A2" s="104"/>
      <c r="B2" s="2"/>
      <c r="C2" s="2"/>
      <c r="D2" s="2"/>
      <c r="E2" s="2"/>
      <c r="F2" s="2"/>
      <c r="G2" s="2"/>
      <c r="H2" s="2"/>
      <c r="I2" s="2"/>
      <c r="J2" s="105"/>
    </row>
    <row r="3" spans="1:10" x14ac:dyDescent="0.25">
      <c r="A3" s="104"/>
      <c r="B3" s="2"/>
      <c r="C3" s="2"/>
      <c r="D3" s="2"/>
      <c r="E3" s="2"/>
      <c r="F3" s="2"/>
      <c r="G3" s="2"/>
      <c r="H3" s="2"/>
      <c r="I3" s="2"/>
      <c r="J3" s="105"/>
    </row>
    <row r="4" spans="1:10" ht="15.75" thickBot="1" x14ac:dyDescent="0.3">
      <c r="A4" s="106"/>
      <c r="B4" s="2"/>
      <c r="C4" s="2"/>
      <c r="D4" s="2"/>
      <c r="E4" s="2"/>
      <c r="F4" s="2"/>
      <c r="G4" s="2"/>
      <c r="H4" s="2"/>
      <c r="I4" s="2"/>
      <c r="J4" s="105"/>
    </row>
    <row r="5" spans="1:10" x14ac:dyDescent="0.25">
      <c r="A5" s="104"/>
      <c r="B5" s="102"/>
      <c r="C5" s="102"/>
      <c r="D5" s="102"/>
      <c r="E5" s="102"/>
      <c r="F5" s="102"/>
      <c r="G5" s="102"/>
      <c r="H5" s="102"/>
      <c r="I5" s="102"/>
      <c r="J5" s="103"/>
    </row>
    <row r="6" spans="1:10" ht="15.75" x14ac:dyDescent="0.25">
      <c r="A6" s="104"/>
      <c r="B6" s="2"/>
      <c r="C6" s="2"/>
      <c r="D6" s="119" t="s">
        <v>178</v>
      </c>
      <c r="E6" s="120" t="str">
        <f>E15</f>
        <v>CTU</v>
      </c>
      <c r="F6" s="120">
        <v>3</v>
      </c>
      <c r="G6" s="2"/>
      <c r="H6" s="2"/>
      <c r="I6" s="2"/>
      <c r="J6" s="105"/>
    </row>
    <row r="7" spans="1:10" x14ac:dyDescent="0.25">
      <c r="A7" s="104"/>
      <c r="B7" s="2"/>
      <c r="C7" s="2"/>
      <c r="D7" s="2"/>
      <c r="E7" s="2"/>
      <c r="F7" s="2"/>
      <c r="G7" s="2"/>
      <c r="H7" s="2"/>
      <c r="I7" s="2"/>
      <c r="J7" s="105"/>
    </row>
    <row r="8" spans="1:10" x14ac:dyDescent="0.25">
      <c r="A8" s="104"/>
      <c r="B8" s="2"/>
      <c r="C8" s="2"/>
      <c r="D8" s="2"/>
      <c r="E8" s="2"/>
      <c r="F8" s="2"/>
      <c r="G8" s="2"/>
      <c r="H8" s="2"/>
      <c r="I8" s="2"/>
      <c r="J8" s="105"/>
    </row>
    <row r="9" spans="1:10" x14ac:dyDescent="0.25">
      <c r="A9" s="104"/>
      <c r="B9" s="114" t="s">
        <v>22</v>
      </c>
      <c r="C9" s="114" t="s">
        <v>30</v>
      </c>
      <c r="D9" s="154" t="s">
        <v>154</v>
      </c>
      <c r="E9" s="155"/>
      <c r="F9" s="154" t="s">
        <v>155</v>
      </c>
      <c r="G9" s="155"/>
      <c r="H9" s="114" t="s">
        <v>156</v>
      </c>
      <c r="I9" s="114" t="s">
        <v>157</v>
      </c>
      <c r="J9" s="105"/>
    </row>
    <row r="10" spans="1:10" ht="42.6" customHeight="1" x14ac:dyDescent="0.25">
      <c r="A10" s="104"/>
      <c r="B10" s="113" t="s">
        <v>44</v>
      </c>
      <c r="C10" s="109" t="s">
        <v>31</v>
      </c>
      <c r="D10" s="111">
        <v>0.48</v>
      </c>
      <c r="E10" s="110" t="s">
        <v>167</v>
      </c>
      <c r="F10" s="111">
        <v>5.76</v>
      </c>
      <c r="G10" s="112" t="s">
        <v>167</v>
      </c>
      <c r="H10" s="55" t="s">
        <v>62</v>
      </c>
      <c r="I10" s="109" t="s">
        <v>183</v>
      </c>
      <c r="J10" s="105"/>
    </row>
    <row r="11" spans="1:10" x14ac:dyDescent="0.25">
      <c r="A11" s="104"/>
      <c r="B11" s="2"/>
      <c r="C11" s="2"/>
      <c r="D11" s="2"/>
      <c r="E11" s="2"/>
      <c r="F11" s="2"/>
      <c r="G11" s="2"/>
      <c r="H11" s="2"/>
      <c r="I11" s="2"/>
      <c r="J11" s="105"/>
    </row>
    <row r="12" spans="1:10" x14ac:dyDescent="0.25">
      <c r="A12" s="104"/>
      <c r="B12" s="2"/>
      <c r="C12" s="2"/>
      <c r="D12" s="2"/>
      <c r="E12" s="2"/>
      <c r="F12" s="2"/>
      <c r="G12" s="2"/>
      <c r="H12" s="2"/>
      <c r="I12" s="2"/>
      <c r="J12" s="105"/>
    </row>
    <row r="13" spans="1:10" x14ac:dyDescent="0.25">
      <c r="A13" s="104"/>
      <c r="B13" s="2"/>
      <c r="C13" s="2"/>
      <c r="D13" s="2"/>
      <c r="E13" s="2"/>
      <c r="F13" s="2"/>
      <c r="G13" s="2"/>
      <c r="H13" s="2"/>
      <c r="I13" s="2"/>
      <c r="J13" s="105"/>
    </row>
    <row r="14" spans="1:10" x14ac:dyDescent="0.25">
      <c r="A14" s="104"/>
      <c r="B14" s="114" t="s">
        <v>164</v>
      </c>
      <c r="C14" s="114" t="s">
        <v>165</v>
      </c>
      <c r="D14" s="114" t="s">
        <v>166</v>
      </c>
      <c r="E14" s="114" t="s">
        <v>171</v>
      </c>
      <c r="F14" s="114" t="s">
        <v>179</v>
      </c>
      <c r="G14" s="122"/>
      <c r="H14" s="114" t="s">
        <v>195</v>
      </c>
      <c r="I14" s="151" t="s">
        <v>258</v>
      </c>
      <c r="J14" s="105"/>
    </row>
    <row r="15" spans="1:10" ht="36.75" customHeight="1" x14ac:dyDescent="0.25">
      <c r="A15" s="104"/>
      <c r="B15" s="148" t="s">
        <v>68</v>
      </c>
      <c r="C15" s="55" t="s">
        <v>70</v>
      </c>
      <c r="D15" s="55" t="s">
        <v>151</v>
      </c>
      <c r="E15" s="116" t="str">
        <f>VLOOKUP($B$15,'DATA CUSTOMER'!A2:B36,2,FALSE)</f>
        <v>CTU</v>
      </c>
      <c r="F15" s="121">
        <v>1500000</v>
      </c>
      <c r="G15" s="123"/>
      <c r="H15" s="149" t="s">
        <v>205</v>
      </c>
      <c r="I15" s="152" t="s">
        <v>262</v>
      </c>
      <c r="J15" s="105"/>
    </row>
    <row r="16" spans="1:10" x14ac:dyDescent="0.25">
      <c r="A16" s="104"/>
      <c r="B16" s="2"/>
      <c r="C16" s="2"/>
      <c r="D16" s="2"/>
      <c r="E16" s="2"/>
      <c r="F16" s="2"/>
      <c r="G16" s="2"/>
      <c r="H16" s="2"/>
      <c r="I16" s="2"/>
      <c r="J16" s="105"/>
    </row>
    <row r="17" spans="1:10" x14ac:dyDescent="0.25">
      <c r="A17" s="104"/>
      <c r="B17" s="2"/>
      <c r="C17" s="2"/>
      <c r="D17" s="2"/>
      <c r="E17" s="2"/>
      <c r="F17" s="2"/>
      <c r="G17" s="2"/>
      <c r="H17" s="2"/>
      <c r="I17" s="2"/>
      <c r="J17" s="105"/>
    </row>
    <row r="18" spans="1:10" x14ac:dyDescent="0.25">
      <c r="A18" s="104"/>
      <c r="B18" s="2"/>
      <c r="C18" s="2"/>
      <c r="D18" s="2"/>
      <c r="E18" s="2"/>
      <c r="F18" s="2"/>
      <c r="G18" s="2"/>
      <c r="H18" s="2"/>
      <c r="I18" s="2"/>
      <c r="J18" s="105"/>
    </row>
    <row r="19" spans="1:10" x14ac:dyDescent="0.25">
      <c r="A19" s="104"/>
      <c r="B19" s="2"/>
      <c r="C19" s="2"/>
      <c r="D19" s="2"/>
      <c r="E19" s="2"/>
      <c r="F19" s="2"/>
      <c r="G19" s="2"/>
      <c r="H19" s="2"/>
      <c r="I19" s="2"/>
      <c r="J19" s="105"/>
    </row>
    <row r="20" spans="1:10" x14ac:dyDescent="0.25">
      <c r="A20" s="104"/>
      <c r="B20" s="2"/>
      <c r="C20" s="2"/>
      <c r="D20" s="2"/>
      <c r="E20" s="2"/>
      <c r="F20" s="2"/>
      <c r="G20" s="2"/>
      <c r="H20" s="2"/>
      <c r="I20" s="2"/>
      <c r="J20" s="105"/>
    </row>
    <row r="21" spans="1:10" x14ac:dyDescent="0.25">
      <c r="A21" s="104"/>
      <c r="B21" s="2"/>
      <c r="C21" s="2"/>
      <c r="D21" s="2"/>
      <c r="E21" s="2"/>
      <c r="F21" s="2"/>
      <c r="G21" s="2"/>
      <c r="H21" s="2"/>
      <c r="I21" s="2"/>
      <c r="J21" s="105"/>
    </row>
    <row r="22" spans="1:10" x14ac:dyDescent="0.25">
      <c r="A22" s="104"/>
      <c r="B22" s="2"/>
      <c r="C22" s="2"/>
      <c r="D22" s="2"/>
      <c r="E22" s="2"/>
      <c r="F22" s="2"/>
      <c r="G22" s="2"/>
      <c r="H22" s="2"/>
      <c r="I22" s="2"/>
      <c r="J22" s="105"/>
    </row>
    <row r="23" spans="1:10" ht="18.75" x14ac:dyDescent="0.3">
      <c r="A23" s="104"/>
      <c r="B23" s="153">
        <f ca="1">TODAY()</f>
        <v>45610</v>
      </c>
      <c r="C23" s="153"/>
      <c r="D23" s="2"/>
      <c r="E23" s="2"/>
      <c r="F23" s="2"/>
      <c r="G23" s="2"/>
      <c r="H23" s="2"/>
      <c r="I23" s="2"/>
      <c r="J23" s="105"/>
    </row>
    <row r="24" spans="1:10" ht="15.75" thickBot="1" x14ac:dyDescent="0.3">
      <c r="A24" s="106"/>
      <c r="B24" s="107"/>
      <c r="C24" s="107"/>
      <c r="D24" s="107"/>
      <c r="E24" s="107"/>
      <c r="F24" s="107"/>
      <c r="G24" s="107"/>
      <c r="H24" s="107"/>
      <c r="I24" s="107"/>
      <c r="J24" s="108"/>
    </row>
  </sheetData>
  <customSheetViews>
    <customSheetView guid="{D7858EE5-5A2B-4DA3-AFDF-B47720F98719}" scale="90" showPageBreaks="1" view="pageLayout">
      <selection sqref="A1:N33"/>
      <pageMargins left="0.7" right="0.7" top="0.75" bottom="0.75" header="0.3" footer="0.3"/>
      <pageSetup paperSize="9" orientation="landscape" r:id="rId1"/>
    </customSheetView>
  </customSheetViews>
  <mergeCells count="3">
    <mergeCell ref="B23:C23"/>
    <mergeCell ref="D9:E9"/>
    <mergeCell ref="F9:G9"/>
  </mergeCells>
  <pageMargins left="0.7" right="0.7" top="0.75" bottom="0.75" header="0.3" footer="0.3"/>
  <pageSetup paperSize="8" orientation="landscape" r:id="rId2"/>
  <drawing r:id="rId3"/>
  <legacyDrawing r:id="rId4"/>
  <controls>
    <mc:AlternateContent xmlns:mc="http://schemas.openxmlformats.org/markup-compatibility/2006">
      <mc:Choice Requires="x14">
        <control shapeId="4100" r:id="rId5" name="CommandButton3">
          <controlPr defaultSize="0" autoLine="0" autoPict="0" r:id="rId6">
            <anchor moveWithCells="1">
              <from>
                <xdr:col>1</xdr:col>
                <xdr:colOff>9525</xdr:colOff>
                <xdr:row>4</xdr:row>
                <xdr:rowOff>76200</xdr:rowOff>
              </from>
              <to>
                <xdr:col>2</xdr:col>
                <xdr:colOff>476250</xdr:colOff>
                <xdr:row>7</xdr:row>
                <xdr:rowOff>47625</xdr:rowOff>
              </to>
            </anchor>
          </controlPr>
        </control>
      </mc:Choice>
      <mc:Fallback>
        <control shapeId="4100" r:id="rId5" name="CommandButton3"/>
      </mc:Fallback>
    </mc:AlternateContent>
    <mc:AlternateContent xmlns:mc="http://schemas.openxmlformats.org/markup-compatibility/2006">
      <mc:Choice Requires="x14">
        <control shapeId="4098" r:id="rId7" name="CommandButton2">
          <controlPr defaultSize="0" autoLine="0" autoPict="0" r:id="rId8">
            <anchor moveWithCells="1">
              <from>
                <xdr:col>7</xdr:col>
                <xdr:colOff>866775</xdr:colOff>
                <xdr:row>20</xdr:row>
                <xdr:rowOff>123825</xdr:rowOff>
              </from>
              <to>
                <xdr:col>8</xdr:col>
                <xdr:colOff>762000</xdr:colOff>
                <xdr:row>22</xdr:row>
                <xdr:rowOff>228600</xdr:rowOff>
              </to>
            </anchor>
          </controlPr>
        </control>
      </mc:Choice>
      <mc:Fallback>
        <control shapeId="4098" r:id="rId7" name="CommandButton2"/>
      </mc:Fallback>
    </mc:AlternateContent>
    <mc:AlternateContent xmlns:mc="http://schemas.openxmlformats.org/markup-compatibility/2006">
      <mc:Choice Requires="x14">
        <control shapeId="4097" r:id="rId9" name="CommandButton1">
          <controlPr defaultSize="0" autoLine="0" r:id="rId10">
            <anchor moveWithCells="1">
              <from>
                <xdr:col>5</xdr:col>
                <xdr:colOff>771525</xdr:colOff>
                <xdr:row>20</xdr:row>
                <xdr:rowOff>123825</xdr:rowOff>
              </from>
              <to>
                <xdr:col>7</xdr:col>
                <xdr:colOff>657225</xdr:colOff>
                <xdr:row>22</xdr:row>
                <xdr:rowOff>228600</xdr:rowOff>
              </to>
            </anchor>
          </controlPr>
        </control>
      </mc:Choice>
      <mc:Fallback>
        <control shapeId="4097" r:id="rId9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>
          <x14:formula1>
            <xm:f>'format quot'!$AA$11:$AA$16</xm:f>
          </x14:formula1>
          <xm:sqref>B10</xm:sqref>
        </x14:dataValidation>
        <x14:dataValidation type="list" allowBlank="1" showInputMessage="1" showErrorMessage="1">
          <x14:formula1>
            <xm:f>Sheet2!$A$1:$A$2</xm:f>
          </x14:formula1>
          <xm:sqref>C10</xm:sqref>
        </x14:dataValidation>
        <x14:dataValidation type="list" allowBlank="1" showInputMessage="1" showErrorMessage="1">
          <x14:formula1>
            <xm:f>Sheet3!$D$3:$D$74</xm:f>
          </x14:formula1>
          <xm:sqref>D10</xm:sqref>
        </x14:dataValidation>
        <x14:dataValidation type="list" allowBlank="1" showInputMessage="1" showErrorMessage="1">
          <x14:formula1>
            <xm:f>'format quot'!$AB$25:$AB$28</xm:f>
          </x14:formula1>
          <xm:sqref>H10</xm:sqref>
        </x14:dataValidation>
        <x14:dataValidation type="list" allowBlank="1" showInputMessage="1" showErrorMessage="1">
          <x14:formula1>
            <xm:f>Sheet2!$S$41:$S$58</xm:f>
          </x14:formula1>
          <xm:sqref>I10</xm:sqref>
        </x14:dataValidation>
        <x14:dataValidation type="list" allowBlank="1" showInputMessage="1" showErrorMessage="1">
          <x14:formula1>
            <xm:f>'DATA CUSTOMER'!$A$2:$A$34</xm:f>
          </x14:formula1>
          <xm:sqref>B15</xm:sqref>
        </x14:dataValidation>
        <x14:dataValidation type="list" allowBlank="1" showInputMessage="1" showErrorMessage="1">
          <x14:formula1>
            <xm:f>'DATA CUSTOMER'!$C$2:$C$36</xm:f>
          </x14:formula1>
          <xm:sqref>C15</xm:sqref>
        </x14:dataValidation>
        <x14:dataValidation type="list" allowBlank="1" showInputMessage="1" showErrorMessage="1">
          <x14:formula1>
            <xm:f>Sheet3!$B$3:$B$74</xm:f>
          </x14:formula1>
          <xm:sqref>F10</xm:sqref>
        </x14:dataValidation>
        <x14:dataValidation type="list" allowBlank="1" showInputMessage="1" showErrorMessage="1">
          <x14:formula1>
            <xm:f>Sheet3!$H$17:$H$76</xm:f>
          </x14:formula1>
          <xm:sqref>H15</xm:sqref>
        </x14:dataValidation>
        <x14:dataValidation type="list" allowBlank="1" showInputMessage="1" showErrorMessage="1">
          <x14:formula1>
            <xm:f>Sheet3!$I$17:$I$20</xm:f>
          </x14:formula1>
          <xm:sqref>I15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66"/>
  <sheetViews>
    <sheetView showGridLines="0" view="pageLayout" topLeftCell="G3" zoomScaleNormal="100" workbookViewId="0">
      <selection activeCell="Q20" sqref="Q20:V20"/>
    </sheetView>
  </sheetViews>
  <sheetFormatPr defaultRowHeight="15" x14ac:dyDescent="0.25"/>
  <cols>
    <col min="1" max="1" width="3.5703125" customWidth="1"/>
    <col min="2" max="2" width="5.5703125" customWidth="1"/>
    <col min="3" max="3" width="2.140625" customWidth="1"/>
    <col min="4" max="4" width="3.42578125" customWidth="1"/>
    <col min="5" max="5" width="2.85546875" customWidth="1"/>
    <col min="6" max="6" width="7.42578125" customWidth="1"/>
    <col min="7" max="7" width="2.85546875" customWidth="1"/>
    <col min="8" max="8" width="8.85546875" customWidth="1"/>
    <col min="9" max="9" width="0.5703125" customWidth="1"/>
    <col min="10" max="10" width="3.7109375" customWidth="1"/>
    <col min="11" max="11" width="3.140625" customWidth="1"/>
    <col min="12" max="12" width="9" customWidth="1"/>
    <col min="13" max="13" width="4.7109375" customWidth="1"/>
    <col min="14" max="14" width="1.140625" customWidth="1"/>
    <col min="15" max="15" width="3.42578125" customWidth="1"/>
    <col min="16" max="16" width="1.28515625" customWidth="1"/>
    <col min="17" max="17" width="4.140625" customWidth="1"/>
    <col min="18" max="18" width="1.140625" customWidth="1"/>
    <col min="19" max="19" width="2.85546875" customWidth="1"/>
    <col min="20" max="20" width="1.140625" customWidth="1"/>
    <col min="21" max="21" width="2.85546875" customWidth="1"/>
    <col min="22" max="22" width="5.28515625" customWidth="1"/>
    <col min="23" max="23" width="0.5703125" customWidth="1"/>
    <col min="24" max="24" width="1.28515625" customWidth="1"/>
    <col min="25" max="25" width="4.42578125" customWidth="1"/>
    <col min="26" max="26" width="12.140625" customWidth="1"/>
    <col min="27" max="27" width="17.85546875" customWidth="1"/>
    <col min="28" max="28" width="16.28515625" customWidth="1"/>
    <col min="29" max="29" width="6" customWidth="1"/>
    <col min="30" max="30" width="25.42578125" customWidth="1"/>
    <col min="31" max="31" width="6.7109375" customWidth="1"/>
    <col min="32" max="32" width="9.7109375" customWidth="1"/>
    <col min="33" max="33" width="12.5703125" customWidth="1"/>
    <col min="34" max="34" width="2.85546875" customWidth="1"/>
    <col min="35" max="35" width="19.28515625" customWidth="1"/>
    <col min="36" max="36" width="9.140625" customWidth="1"/>
    <col min="45" max="45" width="14" bestFit="1" customWidth="1"/>
  </cols>
  <sheetData>
    <row r="1" spans="1:4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D1" s="95" t="s">
        <v>30</v>
      </c>
      <c r="AE1" s="17"/>
      <c r="AF1" s="17"/>
    </row>
    <row r="2" spans="1:45" ht="15" customHeight="1" x14ac:dyDescent="0.25">
      <c r="A2" s="2" t="s">
        <v>0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53" t="s">
        <v>22</v>
      </c>
      <c r="AB2" s="16"/>
      <c r="AC2" s="16"/>
      <c r="AD2" s="94" t="str">
        <f>'THEMPLATE QUOT'!C10</f>
        <v>Magnetic installation</v>
      </c>
      <c r="AE2" s="96"/>
      <c r="AF2" s="96"/>
      <c r="AG2" s="16"/>
      <c r="AH2" s="16"/>
    </row>
    <row r="3" spans="1:45" ht="16.5" customHeight="1" x14ac:dyDescent="0.5">
      <c r="A3" s="2"/>
      <c r="B3" s="4"/>
      <c r="C3" s="4"/>
      <c r="D3" s="4"/>
      <c r="E3" s="4"/>
      <c r="F3" s="4"/>
      <c r="G3" s="4"/>
      <c r="H3" s="4"/>
      <c r="I3" s="4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69" t="str">
        <f>'THEMPLATE QUOT'!B10</f>
        <v>P4,0</v>
      </c>
      <c r="AB3" s="70"/>
      <c r="AC3" s="70"/>
      <c r="AD3" s="96"/>
      <c r="AE3" s="96"/>
      <c r="AF3" s="96"/>
      <c r="AG3" s="17"/>
      <c r="AH3" s="17"/>
    </row>
    <row r="4" spans="1:45" ht="17.25" customHeight="1" x14ac:dyDescent="0.5">
      <c r="A4" s="2"/>
      <c r="B4" s="4"/>
      <c r="C4" s="4"/>
      <c r="D4" s="4"/>
      <c r="E4" s="4"/>
      <c r="F4" s="4"/>
      <c r="G4" s="4"/>
      <c r="H4" s="4"/>
      <c r="I4" s="4"/>
      <c r="J4" s="61" t="s">
        <v>172</v>
      </c>
      <c r="K4" s="63"/>
      <c r="L4" s="63"/>
      <c r="M4" s="117" t="str">
        <f>'THEMPLATE QUOT'!E6</f>
        <v>CTU</v>
      </c>
      <c r="N4" s="47" t="s">
        <v>146</v>
      </c>
      <c r="O4" s="47">
        <f>'THEMPLATE QUOT'!F6</f>
        <v>3</v>
      </c>
      <c r="P4" s="60" t="s">
        <v>146</v>
      </c>
      <c r="Q4" s="47">
        <f ca="1">MONTH(T46)</f>
        <v>11</v>
      </c>
      <c r="R4" s="60" t="s">
        <v>146</v>
      </c>
      <c r="S4" s="290">
        <f ca="1">YEAR(T46)</f>
        <v>2024</v>
      </c>
      <c r="T4" s="290"/>
      <c r="U4" s="290"/>
      <c r="V4" s="290"/>
      <c r="W4" s="290"/>
      <c r="X4" s="60"/>
      <c r="Y4" s="60"/>
      <c r="Z4" s="60"/>
      <c r="AA4" s="70"/>
      <c r="AB4" s="70"/>
      <c r="AC4" s="70"/>
      <c r="AD4" s="115">
        <v>1</v>
      </c>
      <c r="AF4" s="17"/>
      <c r="AG4" s="17"/>
      <c r="AH4" s="17"/>
    </row>
    <row r="5" spans="1:45" ht="15.75" x14ac:dyDescent="0.3">
      <c r="A5" s="2"/>
      <c r="B5" s="4"/>
      <c r="C5" s="4"/>
      <c r="D5" s="4"/>
      <c r="E5" s="4"/>
      <c r="F5" s="4"/>
      <c r="G5" s="4"/>
      <c r="H5" s="4"/>
      <c r="I5" s="4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45" ht="15.75" x14ac:dyDescent="0.3">
      <c r="A6" s="2"/>
      <c r="B6" s="4"/>
      <c r="C6" s="4"/>
      <c r="D6" s="4"/>
      <c r="E6" s="4"/>
      <c r="F6" s="4"/>
      <c r="G6" s="4"/>
      <c r="H6" s="4"/>
      <c r="I6" s="4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181" t="s">
        <v>65</v>
      </c>
      <c r="AB6" s="181"/>
      <c r="AC6" s="181"/>
      <c r="AD6" s="181"/>
      <c r="AF6" s="181" t="s">
        <v>129</v>
      </c>
      <c r="AG6" s="181"/>
      <c r="AH6" s="181"/>
      <c r="AI6" s="181" t="s">
        <v>66</v>
      </c>
      <c r="AJ6" s="181"/>
    </row>
    <row r="7" spans="1:45" ht="15.75" customHeight="1" x14ac:dyDescent="0.3">
      <c r="A7" s="199" t="s">
        <v>1</v>
      </c>
      <c r="B7" s="200"/>
      <c r="C7" s="200"/>
      <c r="D7" s="200"/>
      <c r="E7" s="200"/>
      <c r="F7" s="200"/>
      <c r="G7" s="200"/>
      <c r="H7" s="201"/>
      <c r="I7" s="54"/>
      <c r="J7" s="200"/>
      <c r="K7" s="200"/>
      <c r="L7" s="200"/>
      <c r="M7" s="200"/>
      <c r="N7" s="200"/>
      <c r="O7" s="200"/>
      <c r="P7" s="200"/>
      <c r="Q7" s="200"/>
      <c r="R7" s="200"/>
      <c r="S7" s="200"/>
      <c r="T7" s="200"/>
      <c r="U7" s="200"/>
      <c r="V7" s="200"/>
      <c r="W7" s="200"/>
      <c r="X7" s="200"/>
      <c r="Y7" s="200"/>
      <c r="Z7" s="200"/>
      <c r="AA7" s="18" t="s">
        <v>26</v>
      </c>
      <c r="AB7" s="91">
        <f>'THEMPLATE QUOT'!F10</f>
        <v>5.76</v>
      </c>
      <c r="AC7" s="91"/>
      <c r="AD7" s="19" t="s">
        <v>28</v>
      </c>
      <c r="AF7" s="97" t="str">
        <f>'THEMPLATE QUOT'!H10</f>
        <v>Asynchronous Huidu</v>
      </c>
      <c r="AG7" s="98"/>
      <c r="AH7" s="99"/>
      <c r="AI7" s="97" t="str">
        <f>'THEMPLATE QUOT'!I10</f>
        <v>Asynchronous Huidu A4</v>
      </c>
      <c r="AJ7" s="99"/>
    </row>
    <row r="8" spans="1:45" ht="15" customHeight="1" x14ac:dyDescent="0.25">
      <c r="A8" s="206" t="s">
        <v>2</v>
      </c>
      <c r="B8" s="207"/>
      <c r="C8" s="207"/>
      <c r="D8" s="207"/>
      <c r="E8" s="207"/>
      <c r="F8" s="207"/>
      <c r="G8" s="207"/>
      <c r="H8" s="23"/>
      <c r="I8" s="206" t="s">
        <v>174</v>
      </c>
      <c r="J8" s="207"/>
      <c r="K8" s="207"/>
      <c r="L8" s="207"/>
      <c r="M8" s="212" t="str">
        <f>'THEMPLATE QUOT'!B15</f>
        <v>PT. CIPTA TEKNIK UTAMA</v>
      </c>
      <c r="N8" s="212"/>
      <c r="O8" s="212"/>
      <c r="P8" s="212"/>
      <c r="Q8" s="212"/>
      <c r="R8" s="212"/>
      <c r="S8" s="212"/>
      <c r="T8" s="212"/>
      <c r="U8" s="212"/>
      <c r="V8" s="212"/>
      <c r="W8" s="212"/>
      <c r="X8" s="212"/>
      <c r="Y8" s="212"/>
      <c r="Z8" s="213"/>
      <c r="AA8" s="18" t="s">
        <v>27</v>
      </c>
      <c r="AB8" s="91">
        <f>'THEMPLATE QUOT'!D10</f>
        <v>0.48</v>
      </c>
      <c r="AC8" s="100"/>
      <c r="AD8" s="32" t="s">
        <v>28</v>
      </c>
      <c r="AE8" s="39"/>
      <c r="AF8" s="45"/>
      <c r="AG8" s="45"/>
      <c r="AH8" s="46"/>
    </row>
    <row r="9" spans="1:45" x14ac:dyDescent="0.25">
      <c r="A9" s="64" t="s">
        <v>3</v>
      </c>
      <c r="B9" s="65"/>
      <c r="C9" s="65"/>
      <c r="D9" s="65"/>
      <c r="E9" s="65"/>
      <c r="F9" s="65"/>
      <c r="G9" s="65"/>
      <c r="H9" s="24"/>
      <c r="I9" s="208" t="s">
        <v>175</v>
      </c>
      <c r="J9" s="209"/>
      <c r="K9" s="209"/>
      <c r="L9" s="209"/>
      <c r="M9" s="180" t="str">
        <f>'THEMPLATE QUOT'!C15</f>
        <v>Ibu krisna</v>
      </c>
      <c r="N9" s="180"/>
      <c r="O9" s="180"/>
      <c r="P9" s="180"/>
      <c r="Q9" s="180"/>
      <c r="R9" s="180"/>
      <c r="S9" s="180"/>
      <c r="T9" s="180"/>
      <c r="U9" s="180"/>
      <c r="V9" s="180"/>
      <c r="W9" s="180"/>
      <c r="X9" s="180"/>
      <c r="Y9" s="180"/>
      <c r="Z9" s="214"/>
      <c r="AA9" s="33"/>
      <c r="AB9" s="33"/>
      <c r="AC9" s="33"/>
      <c r="AD9" s="35" t="s">
        <v>112</v>
      </c>
      <c r="AE9" s="34">
        <f>AB7*1000</f>
        <v>5760</v>
      </c>
      <c r="AF9" s="34">
        <f>AE9/320</f>
        <v>18</v>
      </c>
      <c r="AG9" s="182" t="s">
        <v>114</v>
      </c>
      <c r="AH9" s="182"/>
      <c r="AI9" s="33"/>
    </row>
    <row r="10" spans="1:45" ht="15" customHeight="1" x14ac:dyDescent="0.25">
      <c r="A10" s="210" t="s">
        <v>4</v>
      </c>
      <c r="B10" s="211"/>
      <c r="C10" s="211"/>
      <c r="D10" s="211"/>
      <c r="E10" s="211"/>
      <c r="F10" s="211"/>
      <c r="G10" s="211"/>
      <c r="H10" s="236"/>
      <c r="I10" s="210" t="s">
        <v>176</v>
      </c>
      <c r="J10" s="211"/>
      <c r="K10" s="211"/>
      <c r="L10" s="211"/>
      <c r="M10" s="180" t="str">
        <f>'THEMPLATE QUOT'!D15</f>
        <v>Jakarta</v>
      </c>
      <c r="N10" s="180"/>
      <c r="O10" s="180"/>
      <c r="P10" s="180"/>
      <c r="Q10" s="180"/>
      <c r="R10" s="180"/>
      <c r="S10" s="180"/>
      <c r="T10" s="180"/>
      <c r="U10" s="180"/>
      <c r="V10" s="180"/>
      <c r="W10" s="180"/>
      <c r="X10" s="180"/>
      <c r="Y10" s="180"/>
      <c r="Z10" s="214"/>
      <c r="AA10" s="33"/>
      <c r="AB10" s="33"/>
      <c r="AC10" s="33"/>
      <c r="AD10" s="34" t="s">
        <v>113</v>
      </c>
      <c r="AE10" s="34">
        <f>AB8*1000</f>
        <v>480</v>
      </c>
      <c r="AF10" s="34">
        <f>AE10/160</f>
        <v>3</v>
      </c>
      <c r="AG10" s="182" t="s">
        <v>115</v>
      </c>
      <c r="AH10" s="182"/>
      <c r="AI10" s="33"/>
      <c r="AJ10" s="44"/>
      <c r="AK10" s="44"/>
    </row>
    <row r="11" spans="1:45" ht="15" customHeight="1" x14ac:dyDescent="0.25">
      <c r="A11" s="215"/>
      <c r="B11" s="216"/>
      <c r="C11" s="216"/>
      <c r="D11" s="216"/>
      <c r="E11" s="216"/>
      <c r="F11" s="216"/>
      <c r="G11" s="216"/>
      <c r="H11" s="25"/>
      <c r="I11" s="215" t="s">
        <v>177</v>
      </c>
      <c r="J11" s="216"/>
      <c r="K11" s="216"/>
      <c r="L11" s="216"/>
      <c r="M11" s="299" t="s">
        <v>173</v>
      </c>
      <c r="N11" s="299"/>
      <c r="O11" s="299"/>
      <c r="P11" s="299"/>
      <c r="Q11" s="299"/>
      <c r="R11" s="299"/>
      <c r="S11" s="299"/>
      <c r="T11" s="144" t="str">
        <f>AA3</f>
        <v>P4,0</v>
      </c>
      <c r="U11" s="144"/>
      <c r="V11" s="150">
        <f>'format quot'!$AB$7</f>
        <v>5.76</v>
      </c>
      <c r="W11" s="145"/>
      <c r="X11" s="146" t="s">
        <v>45</v>
      </c>
      <c r="Y11" s="22">
        <f>'format quot'!$AB$8</f>
        <v>0.48</v>
      </c>
      <c r="Z11" s="118" t="s">
        <v>46</v>
      </c>
      <c r="AA11" s="71" t="s">
        <v>147</v>
      </c>
      <c r="AB11" s="92">
        <v>9750000</v>
      </c>
      <c r="AC11" s="92"/>
      <c r="AD11" s="72"/>
      <c r="AE11" s="72" t="s">
        <v>150</v>
      </c>
      <c r="AF11" s="72"/>
      <c r="AG11" s="73">
        <v>225000</v>
      </c>
      <c r="AH11" s="72"/>
      <c r="AI11" s="72"/>
      <c r="AJ11" s="74"/>
      <c r="AK11" s="40"/>
    </row>
    <row r="12" spans="1:45" ht="15.75" customHeight="1" x14ac:dyDescent="0.3">
      <c r="A12" s="198"/>
      <c r="B12" s="198"/>
      <c r="C12" s="198"/>
      <c r="D12" s="198"/>
      <c r="E12" s="198"/>
      <c r="F12" s="198"/>
      <c r="G12" s="198"/>
      <c r="H12" s="198"/>
      <c r="I12" s="198"/>
      <c r="J12" s="198"/>
      <c r="K12" s="198"/>
      <c r="L12" s="198"/>
      <c r="M12" s="198"/>
      <c r="N12" s="198"/>
      <c r="O12" s="198"/>
      <c r="P12" s="198"/>
      <c r="Q12" s="198"/>
      <c r="R12" s="198"/>
      <c r="S12" s="198"/>
      <c r="T12" s="198"/>
      <c r="U12" s="198"/>
      <c r="V12" s="198"/>
      <c r="W12" s="198"/>
      <c r="X12" s="198"/>
      <c r="Y12" s="198"/>
      <c r="Z12" s="198"/>
      <c r="AA12" s="75" t="s">
        <v>44</v>
      </c>
      <c r="AB12" s="92">
        <v>10500000</v>
      </c>
      <c r="AC12" s="92"/>
      <c r="AD12" s="72" t="s">
        <v>33</v>
      </c>
      <c r="AE12" s="72" t="s">
        <v>130</v>
      </c>
      <c r="AF12" s="72"/>
      <c r="AG12" s="76">
        <v>285000</v>
      </c>
      <c r="AH12" s="72"/>
      <c r="AI12" s="72"/>
      <c r="AJ12" s="74">
        <v>12</v>
      </c>
      <c r="AK12" s="40"/>
      <c r="AL12" s="252" t="s">
        <v>81</v>
      </c>
      <c r="AM12" s="252"/>
      <c r="AN12" s="252"/>
      <c r="AO12" s="56">
        <v>2</v>
      </c>
      <c r="AP12" s="253">
        <v>2900000</v>
      </c>
      <c r="AQ12" s="253"/>
      <c r="AR12" s="253"/>
      <c r="AS12" s="321">
        <v>6500000</v>
      </c>
    </row>
    <row r="13" spans="1:45" ht="18.75" x14ac:dyDescent="0.3">
      <c r="A13" s="5" t="s">
        <v>5</v>
      </c>
      <c r="B13" s="192" t="s">
        <v>6</v>
      </c>
      <c r="C13" s="202"/>
      <c r="D13" s="202"/>
      <c r="E13" s="202"/>
      <c r="F13" s="193"/>
      <c r="G13" s="192" t="s">
        <v>7</v>
      </c>
      <c r="H13" s="202"/>
      <c r="I13" s="202"/>
      <c r="J13" s="202"/>
      <c r="K13" s="202"/>
      <c r="L13" s="193"/>
      <c r="M13" s="192" t="s">
        <v>8</v>
      </c>
      <c r="N13" s="193"/>
      <c r="O13" s="192" t="s">
        <v>9</v>
      </c>
      <c r="P13" s="193"/>
      <c r="Q13" s="192" t="s">
        <v>10</v>
      </c>
      <c r="R13" s="202"/>
      <c r="S13" s="202"/>
      <c r="T13" s="202"/>
      <c r="U13" s="202"/>
      <c r="V13" s="193"/>
      <c r="W13" s="192" t="s">
        <v>11</v>
      </c>
      <c r="X13" s="202"/>
      <c r="Y13" s="202"/>
      <c r="Z13" s="193"/>
      <c r="AA13" s="75" t="s">
        <v>21</v>
      </c>
      <c r="AB13" s="92">
        <v>12500000</v>
      </c>
      <c r="AC13" s="92"/>
      <c r="AD13" s="77" t="s">
        <v>34</v>
      </c>
      <c r="AE13" s="72" t="s">
        <v>131</v>
      </c>
      <c r="AF13" s="72"/>
      <c r="AG13" s="76">
        <v>375000</v>
      </c>
      <c r="AH13" s="72"/>
      <c r="AI13" s="72"/>
      <c r="AJ13" s="74">
        <f>AJ12+1</f>
        <v>13</v>
      </c>
      <c r="AK13" s="43"/>
      <c r="AL13" s="252" t="s">
        <v>83</v>
      </c>
      <c r="AM13" s="252"/>
      <c r="AN13" s="252"/>
      <c r="AO13" s="56">
        <v>4</v>
      </c>
      <c r="AP13" s="253">
        <v>7500000</v>
      </c>
      <c r="AQ13" s="253"/>
      <c r="AR13" s="253"/>
      <c r="AS13" s="321">
        <v>11000000</v>
      </c>
    </row>
    <row r="14" spans="1:45" ht="15" customHeight="1" x14ac:dyDescent="0.3">
      <c r="A14" s="217">
        <v>1</v>
      </c>
      <c r="B14" s="220" t="s">
        <v>43</v>
      </c>
      <c r="C14" s="221"/>
      <c r="D14" s="221"/>
      <c r="E14" s="221"/>
      <c r="F14" s="21" t="str">
        <f>AA3</f>
        <v>P4,0</v>
      </c>
      <c r="G14" s="257" t="s">
        <v>42</v>
      </c>
      <c r="H14" s="258"/>
      <c r="I14" s="258" t="str">
        <f>IF(F14="P1,25",AG26,AA3)</f>
        <v>P4,0</v>
      </c>
      <c r="J14" s="258"/>
      <c r="K14" s="258"/>
      <c r="L14" s="259"/>
      <c r="M14" s="184">
        <f>AB7*AB8</f>
        <v>2.7647999999999997</v>
      </c>
      <c r="N14" s="185"/>
      <c r="O14" s="184" t="s">
        <v>148</v>
      </c>
      <c r="P14" s="185"/>
      <c r="Q14" s="300">
        <f>IF(AA3="P1,8",AB14,IF(AA3="P2,5",AB13,IF(AA3="P4,0",AB12,IF(AA3="P1,25",AB16,IF(AA3="P5,0",AB11)))))</f>
        <v>10500000</v>
      </c>
      <c r="R14" s="301"/>
      <c r="S14" s="301"/>
      <c r="T14" s="301"/>
      <c r="U14" s="301"/>
      <c r="V14" s="302"/>
      <c r="W14" s="222">
        <f>Q14*M14</f>
        <v>29030399.999999996</v>
      </c>
      <c r="X14" s="223"/>
      <c r="Y14" s="223"/>
      <c r="Z14" s="224"/>
      <c r="AA14" s="75" t="s">
        <v>39</v>
      </c>
      <c r="AB14" s="92">
        <v>17000000</v>
      </c>
      <c r="AC14" s="92"/>
      <c r="AD14" s="72" t="s">
        <v>35</v>
      </c>
      <c r="AE14" s="72" t="s">
        <v>132</v>
      </c>
      <c r="AF14" s="72"/>
      <c r="AG14" s="76">
        <v>675000</v>
      </c>
      <c r="AH14" s="72"/>
      <c r="AI14" s="72"/>
      <c r="AJ14" s="74"/>
      <c r="AK14" s="43"/>
      <c r="AL14" s="252" t="s">
        <v>85</v>
      </c>
      <c r="AM14" s="252"/>
      <c r="AN14" s="252"/>
      <c r="AO14" s="56">
        <v>4</v>
      </c>
      <c r="AP14" s="253">
        <v>15000000</v>
      </c>
      <c r="AQ14" s="253"/>
      <c r="AR14" s="253"/>
      <c r="AS14" s="321">
        <v>19500000</v>
      </c>
    </row>
    <row r="15" spans="1:45" ht="14.25" customHeight="1" x14ac:dyDescent="0.3">
      <c r="A15" s="218"/>
      <c r="B15" s="15" t="s">
        <v>25</v>
      </c>
      <c r="C15" s="164">
        <f>'format quot'!$AB$7</f>
        <v>5.76</v>
      </c>
      <c r="D15" s="164"/>
      <c r="E15" s="228" t="s">
        <v>23</v>
      </c>
      <c r="F15" s="229"/>
      <c r="G15" s="260" t="s">
        <v>29</v>
      </c>
      <c r="H15" s="261"/>
      <c r="I15" s="261"/>
      <c r="J15" s="261"/>
      <c r="K15" s="261"/>
      <c r="L15" s="262"/>
      <c r="M15" s="194"/>
      <c r="N15" s="195"/>
      <c r="O15" s="194"/>
      <c r="P15" s="195"/>
      <c r="Q15" s="303"/>
      <c r="R15" s="304"/>
      <c r="S15" s="304"/>
      <c r="T15" s="304"/>
      <c r="U15" s="304"/>
      <c r="V15" s="305"/>
      <c r="W15" s="222"/>
      <c r="X15" s="223"/>
      <c r="Y15" s="223"/>
      <c r="Z15" s="224"/>
      <c r="AA15" s="75" t="s">
        <v>40</v>
      </c>
      <c r="AB15" s="92">
        <v>33750000</v>
      </c>
      <c r="AC15" s="92"/>
      <c r="AD15" s="72" t="s">
        <v>36</v>
      </c>
      <c r="AE15" s="78" t="s">
        <v>133</v>
      </c>
      <c r="AF15" s="79"/>
      <c r="AG15" s="80">
        <v>1350000</v>
      </c>
      <c r="AH15" s="79"/>
      <c r="AI15" s="72"/>
      <c r="AJ15" s="74"/>
      <c r="AK15" s="43"/>
      <c r="AL15" s="252" t="s">
        <v>87</v>
      </c>
      <c r="AM15" s="252"/>
      <c r="AN15" s="252"/>
      <c r="AO15" s="56">
        <v>6</v>
      </c>
      <c r="AP15" s="253">
        <v>18100000</v>
      </c>
      <c r="AQ15" s="253"/>
      <c r="AR15" s="253"/>
      <c r="AS15" s="321">
        <v>24000000</v>
      </c>
    </row>
    <row r="16" spans="1:45" ht="15.75" customHeight="1" x14ac:dyDescent="0.3">
      <c r="A16" s="219"/>
      <c r="B16" s="14" t="s">
        <v>24</v>
      </c>
      <c r="C16" s="165">
        <f>'format quot'!$AB$8</f>
        <v>0.48</v>
      </c>
      <c r="D16" s="165"/>
      <c r="E16" s="203" t="s">
        <v>23</v>
      </c>
      <c r="F16" s="204"/>
      <c r="G16" s="275" t="str">
        <f>'format quot'!$AD$2</f>
        <v>Magnetic installation</v>
      </c>
      <c r="H16" s="276"/>
      <c r="I16" s="276"/>
      <c r="J16" s="276"/>
      <c r="K16" s="276"/>
      <c r="L16" s="277"/>
      <c r="M16" s="186"/>
      <c r="N16" s="187"/>
      <c r="O16" s="186"/>
      <c r="P16" s="187"/>
      <c r="Q16" s="306"/>
      <c r="R16" s="307"/>
      <c r="S16" s="307"/>
      <c r="T16" s="307"/>
      <c r="U16" s="307"/>
      <c r="V16" s="308"/>
      <c r="W16" s="222"/>
      <c r="X16" s="223"/>
      <c r="Y16" s="223"/>
      <c r="Z16" s="224"/>
      <c r="AA16" s="81" t="s">
        <v>41</v>
      </c>
      <c r="AB16" s="92">
        <v>32000000</v>
      </c>
      <c r="AC16" s="92"/>
      <c r="AD16" s="72" t="s">
        <v>37</v>
      </c>
      <c r="AE16" s="72"/>
      <c r="AF16" s="72"/>
      <c r="AG16" s="72"/>
      <c r="AH16" s="72"/>
      <c r="AI16" s="72"/>
      <c r="AJ16" s="74"/>
      <c r="AK16" s="43"/>
      <c r="AL16" s="252" t="s">
        <v>89</v>
      </c>
      <c r="AM16" s="252"/>
      <c r="AN16" s="252"/>
      <c r="AO16" s="56">
        <v>10</v>
      </c>
      <c r="AP16" s="253">
        <v>25000000</v>
      </c>
      <c r="AQ16" s="253"/>
      <c r="AR16" s="253"/>
      <c r="AS16" s="321">
        <v>29500000</v>
      </c>
    </row>
    <row r="17" spans="1:45" ht="15" customHeight="1" x14ac:dyDescent="0.3">
      <c r="A17" s="6">
        <v>2</v>
      </c>
      <c r="B17" s="233" t="s">
        <v>142</v>
      </c>
      <c r="C17" s="234"/>
      <c r="D17" s="234"/>
      <c r="E17" s="234"/>
      <c r="F17" s="235"/>
      <c r="G17" s="278" t="s">
        <v>12</v>
      </c>
      <c r="H17" s="279"/>
      <c r="I17" s="279"/>
      <c r="J17" s="279"/>
      <c r="K17" s="279"/>
      <c r="L17" s="280"/>
      <c r="M17" s="188">
        <f>AB7*AB8</f>
        <v>2.7647999999999997</v>
      </c>
      <c r="N17" s="189"/>
      <c r="O17" s="188" t="s">
        <v>148</v>
      </c>
      <c r="P17" s="189"/>
      <c r="Q17" s="222">
        <f>AB19</f>
        <v>1950000</v>
      </c>
      <c r="R17" s="223"/>
      <c r="S17" s="223"/>
      <c r="T17" s="223"/>
      <c r="U17" s="223"/>
      <c r="V17" s="224"/>
      <c r="W17" s="222">
        <f>Q17*M17</f>
        <v>5391359.9999999991</v>
      </c>
      <c r="X17" s="223"/>
      <c r="Y17" s="223"/>
      <c r="Z17" s="224"/>
      <c r="AA17" s="75" t="s">
        <v>50</v>
      </c>
      <c r="AB17" s="92">
        <v>4000000</v>
      </c>
      <c r="AC17" s="92"/>
      <c r="AD17" s="72" t="s">
        <v>47</v>
      </c>
      <c r="AE17" s="72">
        <f>AB7*1000</f>
        <v>5760</v>
      </c>
      <c r="AF17" s="72">
        <f>AE17/320</f>
        <v>18</v>
      </c>
      <c r="AG17" s="72"/>
      <c r="AH17" s="72"/>
      <c r="AI17" s="72"/>
      <c r="AJ17" s="74" t="e">
        <f>MONTH(now)</f>
        <v>#NAME?</v>
      </c>
      <c r="AK17" s="43"/>
      <c r="AL17" s="252" t="s">
        <v>91</v>
      </c>
      <c r="AM17" s="252"/>
      <c r="AN17" s="252"/>
      <c r="AO17" s="56">
        <v>16</v>
      </c>
      <c r="AP17" s="253">
        <v>52000000</v>
      </c>
      <c r="AQ17" s="253"/>
      <c r="AR17" s="253"/>
      <c r="AS17" s="321">
        <v>59000000</v>
      </c>
    </row>
    <row r="18" spans="1:45" ht="15" customHeight="1" x14ac:dyDescent="0.3">
      <c r="A18" s="217">
        <v>3</v>
      </c>
      <c r="B18" s="284" t="s">
        <v>13</v>
      </c>
      <c r="C18" s="285"/>
      <c r="D18" s="285"/>
      <c r="E18" s="285"/>
      <c r="F18" s="286"/>
      <c r="G18" s="263" t="s">
        <v>14</v>
      </c>
      <c r="H18" s="264"/>
      <c r="I18" s="264"/>
      <c r="J18" s="264"/>
      <c r="K18" s="264"/>
      <c r="L18" s="265"/>
      <c r="M18" s="184">
        <f>IF(M14&lt;7,1,IF(M17&gt;=7,AB7*AB8,))</f>
        <v>1</v>
      </c>
      <c r="N18" s="185"/>
      <c r="O18" s="184" t="str">
        <f>IF(M14&lt;7,"LS",IF(M17&gt;=7,"M²",))</f>
        <v>LS</v>
      </c>
      <c r="P18" s="185"/>
      <c r="Q18" s="300">
        <f>IF(M18&lt;7,AB17,IF(M18&gt;7,AB18,))</f>
        <v>4000000</v>
      </c>
      <c r="R18" s="301"/>
      <c r="S18" s="301"/>
      <c r="T18" s="301"/>
      <c r="U18" s="301"/>
      <c r="V18" s="302"/>
      <c r="W18" s="222">
        <f>Q18*M18</f>
        <v>4000000</v>
      </c>
      <c r="X18" s="223"/>
      <c r="Y18" s="223"/>
      <c r="Z18" s="224"/>
      <c r="AA18" s="75" t="s">
        <v>51</v>
      </c>
      <c r="AB18" s="92">
        <v>800000</v>
      </c>
      <c r="AC18" s="92"/>
      <c r="AD18" s="72" t="s">
        <v>48</v>
      </c>
      <c r="AE18" s="72">
        <f>AB8*1000</f>
        <v>480</v>
      </c>
      <c r="AF18" s="72">
        <f>AE18/160</f>
        <v>3</v>
      </c>
      <c r="AG18" s="72"/>
      <c r="AH18" s="72"/>
      <c r="AI18" s="72"/>
      <c r="AJ18" s="74"/>
      <c r="AK18" s="43"/>
      <c r="AL18" s="252" t="s">
        <v>93</v>
      </c>
      <c r="AM18" s="252"/>
      <c r="AN18" s="252"/>
      <c r="AO18" s="56" t="s">
        <v>94</v>
      </c>
      <c r="AP18" s="253"/>
      <c r="AQ18" s="253"/>
      <c r="AR18" s="253"/>
      <c r="AS18" s="321"/>
    </row>
    <row r="19" spans="1:45" ht="15.75" customHeight="1" x14ac:dyDescent="0.3">
      <c r="A19" s="219"/>
      <c r="B19" s="287"/>
      <c r="C19" s="288"/>
      <c r="D19" s="288"/>
      <c r="E19" s="288"/>
      <c r="F19" s="289"/>
      <c r="G19" s="266"/>
      <c r="H19" s="267"/>
      <c r="I19" s="267"/>
      <c r="J19" s="267"/>
      <c r="K19" s="267"/>
      <c r="L19" s="268"/>
      <c r="M19" s="186"/>
      <c r="N19" s="187"/>
      <c r="O19" s="186"/>
      <c r="P19" s="187"/>
      <c r="Q19" s="306"/>
      <c r="R19" s="307"/>
      <c r="S19" s="307"/>
      <c r="T19" s="307"/>
      <c r="U19" s="307"/>
      <c r="V19" s="308"/>
      <c r="W19" s="222"/>
      <c r="X19" s="223"/>
      <c r="Y19" s="223"/>
      <c r="Z19" s="224"/>
      <c r="AA19" s="75" t="s">
        <v>49</v>
      </c>
      <c r="AB19" s="92">
        <v>1950000</v>
      </c>
      <c r="AC19" s="92"/>
      <c r="AD19" s="72" t="s">
        <v>52</v>
      </c>
      <c r="AE19" s="72"/>
      <c r="AF19" s="72"/>
      <c r="AG19" s="72"/>
      <c r="AH19" s="72"/>
      <c r="AI19" s="72"/>
      <c r="AJ19" s="74"/>
      <c r="AK19" s="43"/>
      <c r="AL19" s="254" t="s">
        <v>96</v>
      </c>
      <c r="AM19" s="254"/>
      <c r="AN19" s="254"/>
      <c r="AO19" s="56">
        <v>1</v>
      </c>
      <c r="AP19" s="253">
        <v>3150000</v>
      </c>
      <c r="AQ19" s="253"/>
      <c r="AR19" s="253"/>
      <c r="AS19" s="321">
        <v>5750000</v>
      </c>
    </row>
    <row r="20" spans="1:45" ht="18.75" x14ac:dyDescent="0.3">
      <c r="A20" s="6">
        <v>4</v>
      </c>
      <c r="B20" s="281" t="s">
        <v>16</v>
      </c>
      <c r="C20" s="282"/>
      <c r="D20" s="282"/>
      <c r="E20" s="282"/>
      <c r="F20" s="283"/>
      <c r="G20" s="281" t="s">
        <v>17</v>
      </c>
      <c r="H20" s="282"/>
      <c r="I20" s="282"/>
      <c r="J20" s="282"/>
      <c r="K20" s="282"/>
      <c r="L20" s="283"/>
      <c r="M20" s="188">
        <v>1</v>
      </c>
      <c r="N20" s="189"/>
      <c r="O20" s="196" t="s">
        <v>149</v>
      </c>
      <c r="P20" s="197"/>
      <c r="Q20" s="222">
        <f>IF(M18&lt;6,AB20,IF(M18&lt;15,AB21,IF(M18&gt;15,AB22,)))</f>
        <v>2750000</v>
      </c>
      <c r="R20" s="223"/>
      <c r="S20" s="223"/>
      <c r="T20" s="223"/>
      <c r="U20" s="223"/>
      <c r="V20" s="224"/>
      <c r="W20" s="222">
        <f t="shared" ref="W20:W25" si="0">Q20*M20</f>
        <v>2750000</v>
      </c>
      <c r="X20" s="223"/>
      <c r="Y20" s="223"/>
      <c r="Z20" s="224"/>
      <c r="AA20" s="82" t="s">
        <v>53</v>
      </c>
      <c r="AB20" s="93">
        <v>2750000</v>
      </c>
      <c r="AC20" s="93"/>
      <c r="AD20" s="72" t="s">
        <v>58</v>
      </c>
      <c r="AE20" s="82" t="s">
        <v>54</v>
      </c>
      <c r="AF20" s="72"/>
      <c r="AG20" s="72"/>
      <c r="AH20" s="72"/>
      <c r="AI20" s="72"/>
      <c r="AJ20" s="74"/>
      <c r="AK20" s="43"/>
      <c r="AL20" s="254" t="s">
        <v>98</v>
      </c>
      <c r="AM20" s="254"/>
      <c r="AN20" s="254"/>
      <c r="AO20" s="56">
        <v>2</v>
      </c>
      <c r="AP20" s="253">
        <v>5900000</v>
      </c>
      <c r="AQ20" s="253"/>
      <c r="AR20" s="253"/>
      <c r="AS20" s="321">
        <v>8750000</v>
      </c>
    </row>
    <row r="21" spans="1:45" ht="18.75" x14ac:dyDescent="0.3">
      <c r="A21" s="8">
        <v>5</v>
      </c>
      <c r="B21" s="7" t="s">
        <v>143</v>
      </c>
      <c r="C21" s="13"/>
      <c r="D21" s="13"/>
      <c r="E21" s="13"/>
      <c r="F21" s="13"/>
      <c r="G21" s="281" t="s">
        <v>57</v>
      </c>
      <c r="H21" s="282"/>
      <c r="I21" s="282"/>
      <c r="J21" s="282"/>
      <c r="K21" s="282"/>
      <c r="L21" s="283"/>
      <c r="M21" s="190">
        <f>IF(M14&lt;=10,1,IF(M14&lt;=20,1.5,IF(M14&lt;=30,2,IF(M14&gt;=30,3,))))</f>
        <v>1</v>
      </c>
      <c r="N21" s="191"/>
      <c r="O21" s="196" t="str">
        <f>IF(M18&lt;15,"LS",IF(M18&gt;15,"Rol",))</f>
        <v>LS</v>
      </c>
      <c r="P21" s="197"/>
      <c r="Q21" s="222">
        <f>IF(M18&lt;15,AB23,IF(M18&gt;15,AB24,))</f>
        <v>1500000</v>
      </c>
      <c r="R21" s="223"/>
      <c r="S21" s="223"/>
      <c r="T21" s="223"/>
      <c r="U21" s="223"/>
      <c r="V21" s="224"/>
      <c r="W21" s="222">
        <f t="shared" si="0"/>
        <v>1500000</v>
      </c>
      <c r="X21" s="223"/>
      <c r="Y21" s="223"/>
      <c r="Z21" s="224"/>
      <c r="AA21" s="82" t="s">
        <v>56</v>
      </c>
      <c r="AB21" s="92">
        <v>5000000</v>
      </c>
      <c r="AC21" s="92"/>
      <c r="AD21" s="72" t="s">
        <v>59</v>
      </c>
      <c r="AE21" s="83" t="s">
        <v>38</v>
      </c>
      <c r="AF21" s="83"/>
      <c r="AG21" s="83"/>
      <c r="AH21" s="83"/>
      <c r="AI21" s="83"/>
      <c r="AJ21" s="84"/>
      <c r="AK21" s="43"/>
      <c r="AL21" s="254" t="s">
        <v>99</v>
      </c>
      <c r="AM21" s="254"/>
      <c r="AN21" s="254"/>
      <c r="AO21" s="56">
        <v>4</v>
      </c>
      <c r="AP21" s="253">
        <v>7500000</v>
      </c>
      <c r="AQ21" s="253"/>
      <c r="AR21" s="253"/>
      <c r="AS21" s="321">
        <v>10500000</v>
      </c>
    </row>
    <row r="22" spans="1:45" x14ac:dyDescent="0.25">
      <c r="A22" s="6">
        <v>6</v>
      </c>
      <c r="B22" s="157" t="s">
        <v>64</v>
      </c>
      <c r="C22" s="158"/>
      <c r="D22" s="158"/>
      <c r="E22" s="158"/>
      <c r="F22" s="166"/>
      <c r="G22" s="293" t="str">
        <f>AI7</f>
        <v>Asynchronous Huidu A4</v>
      </c>
      <c r="H22" s="294"/>
      <c r="I22" s="294"/>
      <c r="J22" s="294"/>
      <c r="K22" s="294"/>
      <c r="L22" s="295"/>
      <c r="M22" s="173">
        <v>1</v>
      </c>
      <c r="N22" s="174"/>
      <c r="O22" s="171" t="s">
        <v>18</v>
      </c>
      <c r="P22" s="172"/>
      <c r="Q22" s="269">
        <f>IF(G22="LED Processor Novastar V760",AS12,IF(G22="LED Processor Novastar V960",AS13,IF(G22="LED Processor Novastar VX400",AS14,IF(G22="LED Processor Novastar VX600",AS15,IF(G22="LED Processor Novastar VX1000",AS16,IF(G22="LED Processor Novastar VX16",AS17,IF(G22="Asynchronous Novastar TB20",AS19,IF(G22="Asynchronous Novastar TB50",AS20,IF(G22="Asynchronous Novastar TB60",AS21,IF(G22="LED Processor Huidu VP210",AS46,IF(G22="LED Processor Huidu VP410",AS37,IF(G22="LED Processor Huidu 410C",AS38,IF(G22="LED Processor Huidu VP620",AS39,IF(G22="LED Processor Huidu VP820",AS40,IF(G22="LED Processor Huidu VP830",AS41,IF(G22="LED Processor Huidu VP1240",AS42,IF(G22="LED Processor Huidu VP1640",AS43,IF(G22="Asynchronous Huidu A4",AS45,))))))))))))))))))</f>
        <v>3750000</v>
      </c>
      <c r="R22" s="270"/>
      <c r="S22" s="270"/>
      <c r="T22" s="270"/>
      <c r="U22" s="270"/>
      <c r="V22" s="271"/>
      <c r="W22" s="225">
        <f t="shared" si="0"/>
        <v>3750000</v>
      </c>
      <c r="X22" s="226"/>
      <c r="Y22" s="226"/>
      <c r="Z22" s="227"/>
      <c r="AA22" s="82" t="s">
        <v>55</v>
      </c>
      <c r="AB22" s="92">
        <v>8500000</v>
      </c>
      <c r="AC22" s="92"/>
      <c r="AD22" s="72" t="s">
        <v>60</v>
      </c>
      <c r="AE22" s="72"/>
      <c r="AF22" s="72"/>
      <c r="AG22" s="72"/>
      <c r="AH22" s="72"/>
      <c r="AI22" s="72"/>
      <c r="AJ22" s="74"/>
      <c r="AK22" s="43"/>
      <c r="AL22" s="57"/>
      <c r="AM22" s="57"/>
      <c r="AN22" s="57"/>
      <c r="AO22" s="57"/>
      <c r="AP22" s="57"/>
      <c r="AQ22" s="57"/>
      <c r="AR22" s="57"/>
    </row>
    <row r="23" spans="1:45" x14ac:dyDescent="0.25">
      <c r="A23" s="8">
        <v>7</v>
      </c>
      <c r="B23" s="157" t="s">
        <v>144</v>
      </c>
      <c r="C23" s="158"/>
      <c r="D23" s="158"/>
      <c r="E23" s="158"/>
      <c r="F23" s="166"/>
      <c r="G23" s="157" t="s">
        <v>182</v>
      </c>
      <c r="H23" s="158"/>
      <c r="I23" s="158"/>
      <c r="J23" s="158"/>
      <c r="K23" s="158" t="str">
        <f>'THEMPLATE QUOT'!D15</f>
        <v>Jakarta</v>
      </c>
      <c r="L23" s="166"/>
      <c r="M23" s="173">
        <v>1</v>
      </c>
      <c r="N23" s="174"/>
      <c r="O23" s="171" t="s">
        <v>15</v>
      </c>
      <c r="P23" s="172"/>
      <c r="Q23" s="272">
        <f>'THEMPLATE QUOT'!F15</f>
        <v>1500000</v>
      </c>
      <c r="R23" s="273"/>
      <c r="S23" s="273"/>
      <c r="T23" s="273"/>
      <c r="U23" s="273"/>
      <c r="V23" s="274"/>
      <c r="W23" s="222">
        <f t="shared" si="0"/>
        <v>1500000</v>
      </c>
      <c r="X23" s="223"/>
      <c r="Y23" s="223"/>
      <c r="Z23" s="224"/>
      <c r="AA23" s="72" t="s">
        <v>152</v>
      </c>
      <c r="AB23" s="92">
        <v>1500000</v>
      </c>
      <c r="AC23" s="92"/>
      <c r="AD23" s="85"/>
      <c r="AE23" s="85"/>
      <c r="AF23" s="85"/>
      <c r="AG23" s="85"/>
      <c r="AH23" s="85"/>
      <c r="AI23" s="85"/>
      <c r="AJ23" s="74"/>
      <c r="AK23" s="43"/>
      <c r="AL23" s="256">
        <f>IF(G22="V760",AP12,IF(G22="V960",AP13,IF(G22="VX400",AP14,IF(G22="V600",AP15,IF(G22="V1000",AP16,IF(G22="VX16",AP17,IF(G22="TB20",AP19,IF(G22="TB50",AP20,IF(G22="TB60",AP21,IF(G22="VP210",#REF!,IF(G22="V410",AP37,IF(G22="410C",AP38,IF(G22="VP620",AP39,IF(G22="VP820",AP40,IF(G22="VP830",AP41,IF(G22="VP1240",AP42,IF(G22="VP1640",AP43,IF(G22="A4",AP45,))))))))))))))))))</f>
        <v>0</v>
      </c>
      <c r="AM23" s="256"/>
      <c r="AN23" s="256"/>
      <c r="AO23" s="256"/>
      <c r="AP23" s="256"/>
      <c r="AQ23" s="256"/>
      <c r="AR23" s="256"/>
    </row>
    <row r="24" spans="1:45" x14ac:dyDescent="0.25">
      <c r="A24" s="6">
        <v>8</v>
      </c>
      <c r="B24" s="157" t="s">
        <v>145</v>
      </c>
      <c r="C24" s="158"/>
      <c r="D24" s="158"/>
      <c r="E24" s="158"/>
      <c r="F24" s="166"/>
      <c r="G24" s="157" t="s">
        <v>67</v>
      </c>
      <c r="H24" s="158"/>
      <c r="I24" s="158"/>
      <c r="J24" s="158" t="str">
        <f>F14</f>
        <v>P4,0</v>
      </c>
      <c r="K24" s="158"/>
      <c r="L24" s="166"/>
      <c r="M24" s="173">
        <f>IF(M14&lt;=10,10,IF(M14&lt;=20,15,IF(M14&lt;=30,20,IF(M14&gt;=30,25,))))</f>
        <v>10</v>
      </c>
      <c r="N24" s="174"/>
      <c r="O24" s="171" t="s">
        <v>18</v>
      </c>
      <c r="P24" s="172"/>
      <c r="Q24" s="272">
        <f>IF(F14="P4,0",AG12,IF(F14="P2,5",AG13,IF(F14="P1,8",AG14,IF(F14="P1,25",AG15,IF(F14="P5,0",AG11)))))</f>
        <v>285000</v>
      </c>
      <c r="R24" s="273"/>
      <c r="S24" s="273"/>
      <c r="T24" s="273"/>
      <c r="U24" s="273"/>
      <c r="V24" s="274"/>
      <c r="W24" s="222">
        <f t="shared" si="0"/>
        <v>2850000</v>
      </c>
      <c r="X24" s="223"/>
      <c r="Y24" s="223"/>
      <c r="Z24" s="224"/>
      <c r="AA24" s="72" t="s">
        <v>153</v>
      </c>
      <c r="AB24" s="92">
        <v>2450000</v>
      </c>
      <c r="AC24" s="92"/>
      <c r="AD24" s="72"/>
      <c r="AE24" s="72"/>
      <c r="AF24" s="72"/>
      <c r="AG24" s="72"/>
      <c r="AH24" s="72"/>
      <c r="AI24" s="72"/>
      <c r="AJ24" s="74"/>
      <c r="AK24" s="43"/>
      <c r="AL24" s="256"/>
      <c r="AM24" s="256"/>
      <c r="AN24" s="256"/>
      <c r="AO24" s="256"/>
      <c r="AP24" s="256"/>
      <c r="AQ24" s="256"/>
      <c r="AR24" s="256"/>
    </row>
    <row r="25" spans="1:45" x14ac:dyDescent="0.25">
      <c r="A25" s="8">
        <v>9</v>
      </c>
      <c r="B25" s="157" t="s">
        <v>135</v>
      </c>
      <c r="C25" s="158"/>
      <c r="D25" s="158"/>
      <c r="E25" s="158"/>
      <c r="F25" s="166"/>
      <c r="G25" s="157" t="s">
        <v>136</v>
      </c>
      <c r="H25" s="158"/>
      <c r="I25" s="158"/>
      <c r="J25" s="158"/>
      <c r="K25" s="158"/>
      <c r="L25" s="166"/>
      <c r="M25" s="173">
        <v>1</v>
      </c>
      <c r="N25" s="174"/>
      <c r="O25" s="171" t="s">
        <v>15</v>
      </c>
      <c r="P25" s="172"/>
      <c r="Q25" s="230">
        <v>1500000</v>
      </c>
      <c r="R25" s="231"/>
      <c r="S25" s="231"/>
      <c r="T25" s="231"/>
      <c r="U25" s="231"/>
      <c r="V25" s="232"/>
      <c r="W25" s="222">
        <f t="shared" si="0"/>
        <v>1500000</v>
      </c>
      <c r="X25" s="223"/>
      <c r="Y25" s="223"/>
      <c r="Z25" s="224"/>
      <c r="AA25" s="86" t="s">
        <v>61</v>
      </c>
      <c r="AB25" s="86" t="s">
        <v>62</v>
      </c>
      <c r="AC25" s="86"/>
      <c r="AD25" s="86"/>
      <c r="AE25" s="86"/>
      <c r="AF25" s="72"/>
      <c r="AG25" s="72"/>
      <c r="AH25" s="72"/>
      <c r="AI25" s="72"/>
      <c r="AJ25" s="74"/>
      <c r="AK25" s="43"/>
      <c r="AL25" s="256"/>
      <c r="AM25" s="256"/>
      <c r="AN25" s="256"/>
      <c r="AO25" s="256"/>
      <c r="AP25" s="256"/>
      <c r="AQ25" s="256"/>
      <c r="AR25" s="256"/>
    </row>
    <row r="26" spans="1:45" x14ac:dyDescent="0.25">
      <c r="A26" s="6">
        <v>10</v>
      </c>
      <c r="B26" s="241"/>
      <c r="C26" s="242"/>
      <c r="D26" s="242"/>
      <c r="E26" s="242"/>
      <c r="F26" s="243"/>
      <c r="G26" s="241"/>
      <c r="H26" s="242"/>
      <c r="I26" s="242"/>
      <c r="J26" s="242"/>
      <c r="K26" s="242"/>
      <c r="L26" s="243"/>
      <c r="M26" s="173" t="s">
        <v>0</v>
      </c>
      <c r="N26" s="174"/>
      <c r="O26" s="173"/>
      <c r="P26" s="174"/>
      <c r="Q26" s="196"/>
      <c r="R26" s="244"/>
      <c r="S26" s="244"/>
      <c r="T26" s="244"/>
      <c r="U26" s="244"/>
      <c r="V26" s="197"/>
      <c r="W26" s="171"/>
      <c r="X26" s="205"/>
      <c r="Y26" s="205"/>
      <c r="Z26" s="172"/>
      <c r="AA26" s="87"/>
      <c r="AB26" s="86" t="s">
        <v>125</v>
      </c>
      <c r="AC26" s="86"/>
      <c r="AD26" s="72"/>
      <c r="AE26" s="72"/>
      <c r="AF26" s="72"/>
      <c r="AG26" s="72" t="s">
        <v>134</v>
      </c>
      <c r="AH26" s="72"/>
      <c r="AI26" s="72"/>
      <c r="AJ26" s="74"/>
      <c r="AK26" s="43"/>
      <c r="AL26" s="256"/>
      <c r="AM26" s="256"/>
      <c r="AN26" s="256"/>
      <c r="AO26" s="256"/>
      <c r="AP26" s="256"/>
      <c r="AQ26" s="256"/>
      <c r="AR26" s="256"/>
    </row>
    <row r="27" spans="1:45" x14ac:dyDescent="0.25">
      <c r="A27" s="8">
        <v>11</v>
      </c>
      <c r="B27" s="241"/>
      <c r="C27" s="242"/>
      <c r="D27" s="242"/>
      <c r="E27" s="242"/>
      <c r="F27" s="243"/>
      <c r="G27" s="241"/>
      <c r="H27" s="242"/>
      <c r="I27" s="242"/>
      <c r="J27" s="242"/>
      <c r="K27" s="242"/>
      <c r="L27" s="243"/>
      <c r="M27" s="173" t="s">
        <v>0</v>
      </c>
      <c r="N27" s="174"/>
      <c r="O27" s="173"/>
      <c r="P27" s="174"/>
      <c r="Q27" s="196"/>
      <c r="R27" s="244"/>
      <c r="S27" s="244"/>
      <c r="T27" s="244"/>
      <c r="U27" s="244"/>
      <c r="V27" s="197"/>
      <c r="W27" s="171"/>
      <c r="X27" s="205"/>
      <c r="Y27" s="205"/>
      <c r="Z27" s="172"/>
      <c r="AA27" s="87"/>
      <c r="AB27" s="86" t="s">
        <v>63</v>
      </c>
      <c r="AC27" s="86"/>
      <c r="AD27" s="88"/>
      <c r="AE27" s="72"/>
      <c r="AF27" s="72"/>
      <c r="AG27" s="72"/>
      <c r="AH27" s="72"/>
      <c r="AI27" s="72"/>
      <c r="AJ27" s="74"/>
      <c r="AK27" s="43"/>
      <c r="AL27" s="256"/>
      <c r="AM27" s="256"/>
      <c r="AN27" s="256"/>
      <c r="AO27" s="256"/>
      <c r="AP27" s="256"/>
      <c r="AQ27" s="256"/>
      <c r="AR27" s="256"/>
    </row>
    <row r="28" spans="1:45" x14ac:dyDescent="0.25">
      <c r="A28" s="6">
        <v>12</v>
      </c>
      <c r="B28" s="241"/>
      <c r="C28" s="242"/>
      <c r="D28" s="242"/>
      <c r="E28" s="242"/>
      <c r="F28" s="243"/>
      <c r="G28" s="241"/>
      <c r="H28" s="242"/>
      <c r="I28" s="242"/>
      <c r="J28" s="242"/>
      <c r="K28" s="242"/>
      <c r="L28" s="243"/>
      <c r="M28" s="173" t="s">
        <v>0</v>
      </c>
      <c r="N28" s="174"/>
      <c r="O28" s="173"/>
      <c r="P28" s="174"/>
      <c r="Q28" s="196"/>
      <c r="R28" s="244"/>
      <c r="S28" s="244"/>
      <c r="T28" s="244"/>
      <c r="U28" s="244"/>
      <c r="V28" s="197"/>
      <c r="W28" s="171"/>
      <c r="X28" s="205"/>
      <c r="Y28" s="205"/>
      <c r="Z28" s="172"/>
      <c r="AA28" s="87"/>
      <c r="AB28" s="86" t="s">
        <v>126</v>
      </c>
      <c r="AC28" s="86"/>
      <c r="AD28" s="72"/>
      <c r="AE28" s="72"/>
      <c r="AF28" s="72"/>
      <c r="AG28" s="72"/>
      <c r="AH28" s="72"/>
      <c r="AI28" s="72"/>
      <c r="AJ28" s="74"/>
      <c r="AK28" s="43"/>
      <c r="AL28" s="256"/>
      <c r="AM28" s="256"/>
      <c r="AN28" s="256"/>
      <c r="AO28" s="256"/>
      <c r="AP28" s="256"/>
      <c r="AQ28" s="256"/>
      <c r="AR28" s="256"/>
    </row>
    <row r="29" spans="1:45" x14ac:dyDescent="0.25">
      <c r="A29" s="8">
        <v>13</v>
      </c>
      <c r="B29" s="241"/>
      <c r="C29" s="242"/>
      <c r="D29" s="242"/>
      <c r="E29" s="242"/>
      <c r="F29" s="243"/>
      <c r="G29" s="241"/>
      <c r="H29" s="242"/>
      <c r="I29" s="242"/>
      <c r="J29" s="242"/>
      <c r="K29" s="242"/>
      <c r="L29" s="243"/>
      <c r="M29" s="173" t="s">
        <v>0</v>
      </c>
      <c r="N29" s="174"/>
      <c r="O29" s="173"/>
      <c r="P29" s="174"/>
      <c r="Q29" s="196"/>
      <c r="R29" s="244"/>
      <c r="S29" s="244"/>
      <c r="T29" s="244"/>
      <c r="U29" s="244"/>
      <c r="V29" s="197"/>
      <c r="W29" s="171"/>
      <c r="X29" s="205"/>
      <c r="Y29" s="205"/>
      <c r="Z29" s="172"/>
      <c r="AA29" s="72"/>
      <c r="AB29" s="72"/>
      <c r="AC29" s="72"/>
      <c r="AD29" s="72"/>
      <c r="AE29" s="72"/>
      <c r="AF29" s="72"/>
      <c r="AG29" s="72"/>
      <c r="AH29" s="72"/>
      <c r="AI29" s="72"/>
      <c r="AJ29" s="74"/>
      <c r="AK29" s="43"/>
      <c r="AL29" s="256"/>
      <c r="AM29" s="256"/>
      <c r="AN29" s="256"/>
      <c r="AO29" s="256"/>
      <c r="AP29" s="256"/>
      <c r="AQ29" s="256"/>
      <c r="AR29" s="256"/>
    </row>
    <row r="30" spans="1:45" x14ac:dyDescent="0.25">
      <c r="A30" s="6">
        <v>14</v>
      </c>
      <c r="B30" s="241"/>
      <c r="C30" s="242"/>
      <c r="D30" s="242"/>
      <c r="E30" s="242"/>
      <c r="F30" s="243"/>
      <c r="G30" s="241"/>
      <c r="H30" s="242"/>
      <c r="I30" s="242"/>
      <c r="J30" s="242"/>
      <c r="K30" s="242"/>
      <c r="L30" s="243"/>
      <c r="M30" s="173" t="s">
        <v>0</v>
      </c>
      <c r="N30" s="174"/>
      <c r="O30" s="173"/>
      <c r="P30" s="174"/>
      <c r="Q30" s="196"/>
      <c r="R30" s="244"/>
      <c r="S30" s="244"/>
      <c r="T30" s="244"/>
      <c r="U30" s="244"/>
      <c r="V30" s="197"/>
      <c r="W30" s="171"/>
      <c r="X30" s="205"/>
      <c r="Y30" s="205"/>
      <c r="Z30" s="172"/>
      <c r="AA30" s="72"/>
      <c r="AB30" s="86" t="s">
        <v>110</v>
      </c>
      <c r="AC30" s="86">
        <f>IF(AA3="P4,0",AF17*80,IF(AA3="P2,5",AF17*128,IF(AA3="P1,8",AF17*172,IF(AA3="P1,25",AF17*256,IF(AA3="P5,0",AF17*64,)))))</f>
        <v>1440</v>
      </c>
      <c r="AD30" s="183" t="s">
        <v>116</v>
      </c>
      <c r="AE30" s="183"/>
      <c r="AF30" s="89">
        <f>(AC30*AC35)/655000+0.5</f>
        <v>0.76381679389312973</v>
      </c>
      <c r="AG30" s="85"/>
      <c r="AH30" s="85"/>
      <c r="AI30" s="72"/>
      <c r="AJ30" s="74"/>
      <c r="AK30" s="43"/>
      <c r="AL30" s="256"/>
      <c r="AM30" s="256"/>
      <c r="AN30" s="256"/>
      <c r="AO30" s="256"/>
      <c r="AP30" s="256"/>
      <c r="AQ30" s="256"/>
      <c r="AR30" s="256"/>
    </row>
    <row r="31" spans="1:45" x14ac:dyDescent="0.25">
      <c r="A31" s="126">
        <v>15</v>
      </c>
      <c r="B31" s="241"/>
      <c r="C31" s="242"/>
      <c r="D31" s="242"/>
      <c r="E31" s="242"/>
      <c r="F31" s="243"/>
      <c r="G31" s="241"/>
      <c r="H31" s="242"/>
      <c r="I31" s="242"/>
      <c r="J31" s="242"/>
      <c r="K31" s="242"/>
      <c r="L31" s="243"/>
      <c r="M31" s="173" t="s">
        <v>0</v>
      </c>
      <c r="N31" s="174"/>
      <c r="O31" s="173"/>
      <c r="P31" s="174"/>
      <c r="Q31" s="196"/>
      <c r="R31" s="244"/>
      <c r="S31" s="244"/>
      <c r="T31" s="244"/>
      <c r="U31" s="244"/>
      <c r="V31" s="197"/>
      <c r="W31" s="171"/>
      <c r="X31" s="205"/>
      <c r="Y31" s="205"/>
      <c r="Z31" s="172"/>
      <c r="AA31" s="72"/>
      <c r="AB31" s="86"/>
      <c r="AC31" s="86"/>
      <c r="AD31" s="128"/>
      <c r="AE31" s="128"/>
      <c r="AF31" s="89"/>
      <c r="AG31" s="85"/>
      <c r="AH31" s="85"/>
      <c r="AI31" s="72"/>
      <c r="AJ31" s="74"/>
      <c r="AK31" s="43"/>
      <c r="AL31" s="256"/>
      <c r="AM31" s="256"/>
      <c r="AN31" s="256"/>
      <c r="AO31" s="256"/>
      <c r="AP31" s="256"/>
      <c r="AQ31" s="256"/>
      <c r="AR31" s="256"/>
    </row>
    <row r="32" spans="1:45" x14ac:dyDescent="0.25">
      <c r="A32" s="6">
        <v>16</v>
      </c>
      <c r="B32" s="241"/>
      <c r="C32" s="242"/>
      <c r="D32" s="242"/>
      <c r="E32" s="242"/>
      <c r="F32" s="243"/>
      <c r="G32" s="241"/>
      <c r="H32" s="242"/>
      <c r="I32" s="242"/>
      <c r="J32" s="242"/>
      <c r="K32" s="242"/>
      <c r="L32" s="243"/>
      <c r="M32" s="173" t="s">
        <v>0</v>
      </c>
      <c r="N32" s="174"/>
      <c r="O32" s="173"/>
      <c r="P32" s="174"/>
      <c r="Q32" s="196"/>
      <c r="R32" s="244"/>
      <c r="S32" s="244"/>
      <c r="T32" s="244"/>
      <c r="U32" s="244"/>
      <c r="V32" s="197"/>
      <c r="W32" s="171"/>
      <c r="X32" s="205"/>
      <c r="Y32" s="205"/>
      <c r="Z32" s="172"/>
      <c r="AA32" s="72"/>
      <c r="AB32" s="86"/>
      <c r="AC32" s="86"/>
      <c r="AD32" s="128"/>
      <c r="AE32" s="128"/>
      <c r="AF32" s="89"/>
      <c r="AG32" s="85"/>
      <c r="AH32" s="85"/>
      <c r="AI32" s="72"/>
      <c r="AJ32" s="74"/>
      <c r="AK32" s="43"/>
      <c r="AL32" s="256"/>
      <c r="AM32" s="256"/>
      <c r="AN32" s="256"/>
      <c r="AO32" s="256"/>
      <c r="AP32" s="256"/>
      <c r="AQ32" s="256"/>
      <c r="AR32" s="256"/>
    </row>
    <row r="33" spans="1:45" x14ac:dyDescent="0.25">
      <c r="A33" s="137">
        <v>17</v>
      </c>
      <c r="B33" s="138"/>
      <c r="C33" s="139"/>
      <c r="D33" s="139"/>
      <c r="E33" s="139"/>
      <c r="F33" s="140"/>
      <c r="G33" s="138"/>
      <c r="H33" s="139"/>
      <c r="I33" s="139"/>
      <c r="J33" s="139"/>
      <c r="K33" s="139"/>
      <c r="L33" s="140"/>
      <c r="M33" s="131"/>
      <c r="N33" s="132"/>
      <c r="O33" s="131"/>
      <c r="P33" s="132"/>
      <c r="Q33" s="134"/>
      <c r="R33" s="141"/>
      <c r="S33" s="141"/>
      <c r="T33" s="141"/>
      <c r="U33" s="141"/>
      <c r="V33" s="135"/>
      <c r="W33" s="129"/>
      <c r="X33" s="136"/>
      <c r="Y33" s="136"/>
      <c r="Z33" s="130"/>
      <c r="AA33" s="72"/>
      <c r="AB33" s="86"/>
      <c r="AC33" s="86"/>
      <c r="AD33" s="133"/>
      <c r="AE33" s="133"/>
      <c r="AF33" s="89"/>
      <c r="AG33" s="85"/>
      <c r="AH33" s="85"/>
      <c r="AI33" s="72"/>
      <c r="AJ33" s="74"/>
      <c r="AK33" s="43"/>
      <c r="AL33" s="256"/>
      <c r="AM33" s="256"/>
      <c r="AN33" s="256"/>
      <c r="AO33" s="256"/>
      <c r="AP33" s="256"/>
      <c r="AQ33" s="256"/>
      <c r="AR33" s="256"/>
    </row>
    <row r="34" spans="1:45" x14ac:dyDescent="0.25">
      <c r="A34" s="6">
        <v>18</v>
      </c>
      <c r="B34" s="138"/>
      <c r="C34" s="139"/>
      <c r="D34" s="139"/>
      <c r="E34" s="139"/>
      <c r="F34" s="140"/>
      <c r="G34" s="138"/>
      <c r="H34" s="139"/>
      <c r="I34" s="139"/>
      <c r="J34" s="139"/>
      <c r="K34" s="139"/>
      <c r="L34" s="140"/>
      <c r="M34" s="131"/>
      <c r="N34" s="132"/>
      <c r="O34" s="131"/>
      <c r="P34" s="132"/>
      <c r="Q34" s="134"/>
      <c r="R34" s="141"/>
      <c r="S34" s="141"/>
      <c r="T34" s="141"/>
      <c r="U34" s="141"/>
      <c r="V34" s="135"/>
      <c r="W34" s="129"/>
      <c r="X34" s="136"/>
      <c r="Y34" s="136"/>
      <c r="Z34" s="130"/>
      <c r="AA34" s="72"/>
      <c r="AB34" s="86"/>
      <c r="AC34" s="86"/>
      <c r="AD34" s="133"/>
      <c r="AE34" s="133"/>
      <c r="AF34" s="89"/>
      <c r="AG34" s="85"/>
      <c r="AH34" s="85"/>
      <c r="AI34" s="72"/>
      <c r="AJ34" s="74"/>
      <c r="AK34" s="43"/>
      <c r="AL34" s="256"/>
      <c r="AM34" s="256"/>
      <c r="AN34" s="256"/>
      <c r="AO34" s="256"/>
      <c r="AP34" s="256"/>
      <c r="AQ34" s="256"/>
      <c r="AR34" s="256"/>
    </row>
    <row r="35" spans="1:45" x14ac:dyDescent="0.25">
      <c r="A35" s="137">
        <v>19</v>
      </c>
      <c r="B35" s="241"/>
      <c r="C35" s="242"/>
      <c r="D35" s="242"/>
      <c r="E35" s="242"/>
      <c r="F35" s="243"/>
      <c r="G35" s="241"/>
      <c r="H35" s="242"/>
      <c r="I35" s="242"/>
      <c r="J35" s="242"/>
      <c r="K35" s="242"/>
      <c r="L35" s="243"/>
      <c r="M35" s="173" t="s">
        <v>0</v>
      </c>
      <c r="N35" s="174"/>
      <c r="O35" s="173"/>
      <c r="P35" s="174"/>
      <c r="Q35" s="196"/>
      <c r="R35" s="244"/>
      <c r="S35" s="244"/>
      <c r="T35" s="244"/>
      <c r="U35" s="244"/>
      <c r="V35" s="197"/>
      <c r="W35" s="171"/>
      <c r="X35" s="205"/>
      <c r="Y35" s="205"/>
      <c r="Z35" s="172"/>
      <c r="AA35" s="72"/>
      <c r="AB35" s="86" t="s">
        <v>111</v>
      </c>
      <c r="AC35" s="86">
        <f>IF(AA3="P4,0",AF18*40,IF(AA3="P2,5",AF18*64,IF(AA3="P1,8",AF18*86,IF(AA3="P1,25",AF18*128,IF(AA3="P5,0",AF18*32,)))))</f>
        <v>120</v>
      </c>
      <c r="AD35" s="72"/>
      <c r="AE35" s="72"/>
      <c r="AF35" s="72"/>
      <c r="AG35" s="72"/>
      <c r="AH35" s="72"/>
      <c r="AI35" s="72"/>
      <c r="AJ35" s="74"/>
      <c r="AK35" s="43"/>
      <c r="AL35" s="256"/>
      <c r="AM35" s="256"/>
      <c r="AN35" s="256"/>
      <c r="AO35" s="256"/>
      <c r="AP35" s="256"/>
      <c r="AQ35" s="256"/>
      <c r="AR35" s="256"/>
    </row>
    <row r="36" spans="1:45" x14ac:dyDescent="0.25">
      <c r="A36" s="6">
        <v>20</v>
      </c>
      <c r="B36" s="241"/>
      <c r="C36" s="242"/>
      <c r="D36" s="242"/>
      <c r="E36" s="242"/>
      <c r="F36" s="243"/>
      <c r="G36" s="241"/>
      <c r="H36" s="242"/>
      <c r="I36" s="242"/>
      <c r="J36" s="242"/>
      <c r="K36" s="242"/>
      <c r="L36" s="243"/>
      <c r="M36" s="173" t="s">
        <v>0</v>
      </c>
      <c r="N36" s="174"/>
      <c r="O36" s="173"/>
      <c r="P36" s="174"/>
      <c r="Q36" s="196"/>
      <c r="R36" s="244"/>
      <c r="S36" s="244"/>
      <c r="T36" s="244"/>
      <c r="U36" s="244"/>
      <c r="V36" s="197"/>
      <c r="W36" s="171"/>
      <c r="X36" s="205"/>
      <c r="Y36" s="205"/>
      <c r="Z36" s="172"/>
      <c r="AA36" s="74"/>
      <c r="AB36" s="74"/>
      <c r="AC36" s="74"/>
      <c r="AD36" s="74"/>
      <c r="AE36" s="74"/>
      <c r="AF36" s="74"/>
      <c r="AG36" s="74"/>
      <c r="AH36" s="74"/>
      <c r="AI36" s="74"/>
      <c r="AJ36" s="74"/>
      <c r="AK36" s="43"/>
      <c r="AL36" s="256"/>
      <c r="AM36" s="256"/>
      <c r="AN36" s="256"/>
      <c r="AO36" s="256"/>
      <c r="AP36" s="256"/>
      <c r="AQ36" s="256"/>
      <c r="AR36" s="256"/>
    </row>
    <row r="37" spans="1:45" ht="18.75" x14ac:dyDescent="0.3">
      <c r="A37" s="162"/>
      <c r="B37" s="162"/>
      <c r="C37" s="162"/>
      <c r="D37" s="162"/>
      <c r="E37" s="162"/>
      <c r="F37" s="162"/>
      <c r="G37" s="162"/>
      <c r="H37" s="162"/>
      <c r="I37" s="162"/>
      <c r="J37" s="162"/>
      <c r="K37" s="162"/>
      <c r="L37" s="163"/>
      <c r="M37" s="296" t="s">
        <v>19</v>
      </c>
      <c r="N37" s="297"/>
      <c r="O37" s="297"/>
      <c r="P37" s="297"/>
      <c r="Q37" s="297"/>
      <c r="R37" s="297"/>
      <c r="S37" s="297"/>
      <c r="T37" s="297"/>
      <c r="U37" s="297"/>
      <c r="V37" s="298"/>
      <c r="W37" s="238">
        <f>SUM(W14:Z36)</f>
        <v>52271759.999999993</v>
      </c>
      <c r="X37" s="239"/>
      <c r="Y37" s="239"/>
      <c r="Z37" s="240"/>
      <c r="AA37" s="90"/>
      <c r="AB37" s="90"/>
      <c r="AC37" s="90"/>
      <c r="AD37" s="90"/>
      <c r="AE37" s="90"/>
      <c r="AF37" s="90"/>
      <c r="AG37" s="90"/>
      <c r="AH37" s="90"/>
      <c r="AI37" s="90"/>
      <c r="AJ37" s="90"/>
      <c r="AK37" s="66"/>
      <c r="AL37" s="252" t="s">
        <v>84</v>
      </c>
      <c r="AM37" s="252"/>
      <c r="AN37" s="252"/>
      <c r="AO37" s="56">
        <v>4</v>
      </c>
      <c r="AP37" s="253">
        <v>5750000</v>
      </c>
      <c r="AQ37" s="253"/>
      <c r="AR37" s="253"/>
      <c r="AS37" s="321">
        <v>9850000</v>
      </c>
    </row>
    <row r="38" spans="1:45" ht="15" customHeight="1" x14ac:dyDescent="0.3">
      <c r="A38" s="143" t="s">
        <v>185</v>
      </c>
      <c r="B38" s="160" t="s">
        <v>186</v>
      </c>
      <c r="C38" s="160"/>
      <c r="D38" s="160"/>
      <c r="E38" s="160"/>
      <c r="F38" s="160"/>
      <c r="G38" s="160"/>
      <c r="H38" s="160"/>
      <c r="I38" s="160"/>
      <c r="J38" s="160"/>
      <c r="K38" s="160"/>
      <c r="L38" s="161"/>
      <c r="M38" s="245" t="s">
        <v>74</v>
      </c>
      <c r="N38" s="246"/>
      <c r="O38" s="246"/>
      <c r="P38" s="246"/>
      <c r="Q38" s="246"/>
      <c r="R38" s="246"/>
      <c r="S38" s="246"/>
      <c r="T38" s="246"/>
      <c r="U38" s="246"/>
      <c r="V38" s="247"/>
      <c r="W38" s="238"/>
      <c r="X38" s="239"/>
      <c r="Y38" s="239"/>
      <c r="Z38" s="240"/>
      <c r="AA38" s="90"/>
      <c r="AB38" s="175"/>
      <c r="AC38" s="175"/>
      <c r="AD38" s="175"/>
      <c r="AE38" s="175"/>
      <c r="AF38" s="175"/>
      <c r="AG38" s="90"/>
      <c r="AH38" s="90"/>
      <c r="AI38" s="90"/>
      <c r="AJ38" s="90"/>
      <c r="AK38" s="66"/>
      <c r="AL38" s="252" t="s">
        <v>86</v>
      </c>
      <c r="AM38" s="252"/>
      <c r="AN38" s="252"/>
      <c r="AO38" s="56">
        <v>4</v>
      </c>
      <c r="AP38" s="253">
        <v>2250000</v>
      </c>
      <c r="AQ38" s="253"/>
      <c r="AR38" s="253"/>
      <c r="AS38" s="321">
        <v>6500000</v>
      </c>
    </row>
    <row r="39" spans="1:45" ht="15" customHeight="1" x14ac:dyDescent="0.3">
      <c r="A39" s="160" t="s">
        <v>187</v>
      </c>
      <c r="B39" s="160"/>
      <c r="C39" s="160"/>
      <c r="D39" s="160"/>
      <c r="E39" s="160"/>
      <c r="F39" s="160"/>
      <c r="G39" s="160"/>
      <c r="H39" s="160"/>
      <c r="I39" s="160"/>
      <c r="J39" s="160"/>
      <c r="K39" s="160"/>
      <c r="L39" s="160"/>
      <c r="M39" s="248" t="s">
        <v>20</v>
      </c>
      <c r="N39" s="249"/>
      <c r="O39" s="249"/>
      <c r="P39" s="249"/>
      <c r="Q39" s="249"/>
      <c r="R39" s="249"/>
      <c r="S39" s="249"/>
      <c r="T39" s="249"/>
      <c r="U39" s="249"/>
      <c r="V39" s="250"/>
      <c r="W39" s="177">
        <f>W37+W38</f>
        <v>52271759.999999993</v>
      </c>
      <c r="X39" s="178"/>
      <c r="Y39" s="178"/>
      <c r="Z39" s="179"/>
      <c r="AA39" s="66"/>
      <c r="AB39" s="66"/>
      <c r="AC39" s="66"/>
      <c r="AD39" s="66"/>
      <c r="AE39" s="66"/>
      <c r="AF39" s="66"/>
      <c r="AG39" s="66"/>
      <c r="AH39" s="66"/>
      <c r="AI39" s="66"/>
      <c r="AJ39" s="66"/>
      <c r="AK39" s="66"/>
      <c r="AL39" s="252" t="s">
        <v>88</v>
      </c>
      <c r="AM39" s="252"/>
      <c r="AN39" s="252"/>
      <c r="AO39" s="56">
        <v>6</v>
      </c>
      <c r="AP39" s="253">
        <v>6500000</v>
      </c>
      <c r="AQ39" s="253"/>
      <c r="AR39" s="253"/>
      <c r="AS39" s="321">
        <v>10000000</v>
      </c>
    </row>
    <row r="40" spans="1:45" ht="15" customHeight="1" x14ac:dyDescent="0.3">
      <c r="A40" s="160"/>
      <c r="B40" s="160"/>
      <c r="C40" s="160"/>
      <c r="D40" s="160"/>
      <c r="E40" s="160"/>
      <c r="F40" s="160"/>
      <c r="G40" s="160"/>
      <c r="H40" s="160"/>
      <c r="I40" s="160"/>
      <c r="J40" s="160"/>
      <c r="K40" s="160"/>
      <c r="L40" s="160"/>
      <c r="M40" s="12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66"/>
      <c r="AB40" s="66"/>
      <c r="AC40" s="66"/>
      <c r="AD40" s="66"/>
      <c r="AE40" s="66"/>
      <c r="AF40" s="66"/>
      <c r="AG40" s="66"/>
      <c r="AH40" s="66"/>
      <c r="AI40" s="66"/>
      <c r="AJ40" s="66"/>
      <c r="AK40" s="66"/>
      <c r="AL40" s="252" t="s">
        <v>90</v>
      </c>
      <c r="AM40" s="252"/>
      <c r="AN40" s="252"/>
      <c r="AO40" s="56">
        <v>8</v>
      </c>
      <c r="AP40" s="253">
        <v>7400000</v>
      </c>
      <c r="AQ40" s="253"/>
      <c r="AR40" s="253"/>
      <c r="AS40" s="321">
        <v>12500000</v>
      </c>
    </row>
    <row r="41" spans="1:45" ht="15" customHeight="1" x14ac:dyDescent="0.3">
      <c r="A41" s="160"/>
      <c r="B41" s="160"/>
      <c r="C41" s="160"/>
      <c r="D41" s="160"/>
      <c r="E41" s="160"/>
      <c r="F41" s="160"/>
      <c r="G41" s="160"/>
      <c r="H41" s="160"/>
      <c r="I41" s="160"/>
      <c r="J41" s="160"/>
      <c r="K41" s="160"/>
      <c r="L41" s="160"/>
      <c r="M41" s="12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66"/>
      <c r="AB41" s="66"/>
      <c r="AC41" s="66"/>
      <c r="AD41" s="66"/>
      <c r="AE41" s="66"/>
      <c r="AF41" s="66"/>
      <c r="AG41" s="66"/>
      <c r="AH41" s="66"/>
      <c r="AI41" s="66"/>
      <c r="AJ41" s="66"/>
      <c r="AK41" s="66"/>
      <c r="AL41" s="252" t="s">
        <v>92</v>
      </c>
      <c r="AM41" s="252"/>
      <c r="AN41" s="252"/>
      <c r="AO41" s="56">
        <v>8</v>
      </c>
      <c r="AP41" s="253">
        <v>9000000</v>
      </c>
      <c r="AQ41" s="253"/>
      <c r="AR41" s="253"/>
      <c r="AS41" s="321">
        <v>16000000</v>
      </c>
    </row>
    <row r="42" spans="1:45" ht="15" customHeight="1" x14ac:dyDescent="0.3">
      <c r="A42" s="142" t="s">
        <v>188</v>
      </c>
      <c r="B42" s="292" t="s">
        <v>191</v>
      </c>
      <c r="C42" s="292"/>
      <c r="D42" s="292"/>
      <c r="E42" s="292"/>
      <c r="F42" s="292"/>
      <c r="G42" s="292"/>
      <c r="H42" s="292"/>
      <c r="I42" s="292"/>
      <c r="J42" s="292"/>
      <c r="K42" s="292"/>
      <c r="L42" s="292"/>
      <c r="M42" s="12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67"/>
      <c r="AB42" s="67"/>
      <c r="AC42" s="67"/>
      <c r="AD42" s="67"/>
      <c r="AE42" s="67"/>
      <c r="AF42" s="67"/>
      <c r="AG42" s="67"/>
      <c r="AH42" s="67"/>
      <c r="AI42" s="67"/>
      <c r="AJ42" s="67"/>
      <c r="AK42" s="67"/>
      <c r="AL42" s="252" t="s">
        <v>95</v>
      </c>
      <c r="AM42" s="252"/>
      <c r="AN42" s="252"/>
      <c r="AO42" s="56">
        <v>12</v>
      </c>
      <c r="AP42" s="253">
        <v>13000000</v>
      </c>
      <c r="AQ42" s="253"/>
      <c r="AR42" s="253"/>
      <c r="AS42" s="321">
        <v>18000000</v>
      </c>
    </row>
    <row r="43" spans="1:45" ht="15" customHeight="1" x14ac:dyDescent="0.3">
      <c r="A43" s="142" t="s">
        <v>189</v>
      </c>
      <c r="B43" s="156" t="s">
        <v>190</v>
      </c>
      <c r="C43" s="156"/>
      <c r="D43" s="156"/>
      <c r="E43" s="156"/>
      <c r="F43" s="156"/>
      <c r="G43" s="156"/>
      <c r="H43" s="156"/>
      <c r="I43" s="156"/>
      <c r="J43" s="156"/>
      <c r="K43" s="156"/>
      <c r="L43" s="156"/>
      <c r="M43" s="12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67"/>
      <c r="AB43" s="67"/>
      <c r="AC43" s="67"/>
      <c r="AD43" s="67"/>
      <c r="AE43" s="67"/>
      <c r="AF43" s="67"/>
      <c r="AG43" s="67"/>
      <c r="AH43" s="67"/>
      <c r="AI43" s="67"/>
      <c r="AJ43" s="67"/>
      <c r="AK43" s="67"/>
      <c r="AL43" s="252" t="s">
        <v>97</v>
      </c>
      <c r="AM43" s="252"/>
      <c r="AN43" s="252"/>
      <c r="AO43" s="56">
        <v>16</v>
      </c>
      <c r="AP43" s="253">
        <v>19000000</v>
      </c>
      <c r="AQ43" s="253"/>
      <c r="AR43" s="253"/>
      <c r="AS43" s="321">
        <v>25000000</v>
      </c>
    </row>
    <row r="44" spans="1:45" ht="15" customHeight="1" x14ac:dyDescent="0.3">
      <c r="A44" s="147" t="s">
        <v>184</v>
      </c>
      <c r="B44" s="156" t="s">
        <v>194</v>
      </c>
      <c r="C44" s="156"/>
      <c r="D44" s="156"/>
      <c r="E44" s="156"/>
      <c r="F44" s="156"/>
      <c r="G44" s="156"/>
      <c r="H44" s="160" t="str">
        <f>'THEMPLATE QUOT'!H15</f>
        <v>10 Hari</v>
      </c>
      <c r="I44" s="160"/>
      <c r="J44" s="160"/>
      <c r="K44" s="160"/>
      <c r="L44" s="160"/>
      <c r="M44" s="127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67"/>
      <c r="AB44" s="67"/>
      <c r="AC44" s="67"/>
      <c r="AD44" s="67"/>
      <c r="AE44" s="67"/>
      <c r="AF44" s="67"/>
      <c r="AG44" s="67"/>
      <c r="AH44" s="67"/>
      <c r="AI44" s="67"/>
      <c r="AJ44" s="67"/>
      <c r="AK44" s="67"/>
      <c r="AL44" s="125"/>
      <c r="AM44" s="125"/>
      <c r="AN44" s="125"/>
      <c r="AO44" s="56"/>
      <c r="AP44" s="124"/>
      <c r="AQ44" s="124"/>
      <c r="AR44" s="124"/>
    </row>
    <row r="45" spans="1:45" ht="15" customHeight="1" x14ac:dyDescent="0.3">
      <c r="A45" s="142" t="s">
        <v>257</v>
      </c>
      <c r="B45" s="156" t="str">
        <f>'THEMPLATE QUOT'!I15</f>
        <v xml:space="preserve">Semua unit dan perangkat LED ready stock </v>
      </c>
      <c r="C45" s="156"/>
      <c r="D45" s="156"/>
      <c r="E45" s="156"/>
      <c r="F45" s="156"/>
      <c r="G45" s="156"/>
      <c r="H45" s="156"/>
      <c r="I45" s="156"/>
      <c r="J45" s="156"/>
      <c r="K45" s="156"/>
      <c r="L45" s="156"/>
      <c r="M45" s="12"/>
      <c r="N45" s="180" t="s">
        <v>180</v>
      </c>
      <c r="O45" s="180"/>
      <c r="P45" s="180"/>
      <c r="Q45" s="180"/>
      <c r="R45" s="180"/>
      <c r="S45" s="180"/>
      <c r="T45" s="180"/>
      <c r="U45" s="180"/>
      <c r="V45" s="180"/>
      <c r="W45" s="180"/>
      <c r="X45" s="180"/>
      <c r="Y45" s="180"/>
      <c r="Z45" s="180"/>
      <c r="AL45" s="254" t="s">
        <v>122</v>
      </c>
      <c r="AM45" s="254"/>
      <c r="AN45" s="254"/>
      <c r="AO45" s="58">
        <v>2</v>
      </c>
      <c r="AP45" s="255">
        <v>3750000</v>
      </c>
      <c r="AQ45" s="255"/>
      <c r="AR45" s="255"/>
      <c r="AS45" s="68">
        <v>3750000</v>
      </c>
    </row>
    <row r="46" spans="1:45" ht="15" customHeight="1" x14ac:dyDescent="0.3">
      <c r="A46" s="142" t="s">
        <v>192</v>
      </c>
      <c r="B46" s="292" t="s">
        <v>193</v>
      </c>
      <c r="C46" s="292"/>
      <c r="D46" s="292"/>
      <c r="E46" s="156" t="str">
        <f>'THEMPLATE QUOT'!D15</f>
        <v>Jakarta</v>
      </c>
      <c r="F46" s="156"/>
      <c r="G46" s="156"/>
      <c r="H46" s="156"/>
      <c r="I46" s="156"/>
      <c r="J46" s="156"/>
      <c r="K46" s="156"/>
      <c r="L46" s="156"/>
      <c r="M46" s="12"/>
      <c r="N46" s="176" t="s">
        <v>75</v>
      </c>
      <c r="O46" s="176"/>
      <c r="P46" s="176"/>
      <c r="Q46" s="176"/>
      <c r="R46" s="176"/>
      <c r="S46" s="176"/>
      <c r="T46" s="251">
        <f ca="1">TODAY()</f>
        <v>45610</v>
      </c>
      <c r="U46" s="251"/>
      <c r="V46" s="251"/>
      <c r="W46" s="251"/>
      <c r="X46" s="251"/>
      <c r="Y46" s="251"/>
      <c r="Z46" s="251"/>
      <c r="AB46" s="20"/>
      <c r="AC46" s="20"/>
      <c r="AL46" s="167" t="s">
        <v>82</v>
      </c>
      <c r="AM46" s="168"/>
      <c r="AN46" s="169"/>
      <c r="AO46" s="29">
        <v>2</v>
      </c>
      <c r="AP46" s="170">
        <v>1800000</v>
      </c>
      <c r="AQ46" s="170"/>
      <c r="AR46" s="170"/>
      <c r="AS46" s="68">
        <v>3750000</v>
      </c>
    </row>
    <row r="47" spans="1:45" ht="15" customHeight="1" x14ac:dyDescent="0.25">
      <c r="A47" s="156" t="s">
        <v>256</v>
      </c>
      <c r="B47" s="156"/>
      <c r="C47" s="156"/>
      <c r="D47" s="156"/>
      <c r="E47" s="156"/>
      <c r="F47" s="156"/>
      <c r="G47" s="156"/>
      <c r="H47" s="156"/>
      <c r="I47" s="156"/>
      <c r="J47" s="156"/>
      <c r="K47" s="156"/>
      <c r="L47" s="156"/>
      <c r="M47" s="12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L47" s="59"/>
      <c r="AM47" s="59"/>
      <c r="AN47" s="59"/>
      <c r="AO47" s="59"/>
      <c r="AP47" s="59"/>
      <c r="AQ47" s="59"/>
      <c r="AR47" s="59"/>
    </row>
    <row r="48" spans="1:45" ht="15" customHeight="1" x14ac:dyDescent="0.25">
      <c r="A48" s="159"/>
      <c r="B48" s="159"/>
      <c r="C48" s="159"/>
      <c r="D48" s="159"/>
      <c r="E48" s="159"/>
      <c r="F48" s="159"/>
      <c r="G48" s="159"/>
      <c r="H48" s="159"/>
      <c r="I48" s="159"/>
      <c r="J48" s="159"/>
      <c r="K48" s="159"/>
      <c r="L48" s="159"/>
      <c r="M48" s="12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L48" s="59"/>
      <c r="AM48" s="59"/>
      <c r="AN48" s="59"/>
      <c r="AO48" s="59"/>
      <c r="AP48" s="59"/>
      <c r="AQ48" s="59"/>
      <c r="AR48" s="59"/>
    </row>
    <row r="49" spans="1:26" x14ac:dyDescent="0.25">
      <c r="A49" s="156"/>
      <c r="B49" s="156"/>
      <c r="C49" s="156"/>
      <c r="D49" s="156"/>
      <c r="E49" s="156"/>
      <c r="F49" s="156"/>
      <c r="G49" s="156"/>
      <c r="H49" s="156"/>
      <c r="I49" s="156"/>
      <c r="J49" s="156"/>
      <c r="K49" s="156"/>
      <c r="L49" s="156"/>
      <c r="M49" s="12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</row>
    <row r="50" spans="1:26" x14ac:dyDescent="0.25">
      <c r="A50" s="156"/>
      <c r="B50" s="156"/>
      <c r="C50" s="156"/>
      <c r="D50" s="156"/>
      <c r="E50" s="156"/>
      <c r="F50" s="156"/>
      <c r="G50" s="156"/>
      <c r="H50" s="156"/>
      <c r="I50" s="156"/>
      <c r="J50" s="156"/>
      <c r="K50" s="156"/>
      <c r="L50" s="156"/>
      <c r="M50" s="12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</row>
    <row r="51" spans="1:26" x14ac:dyDescent="0.25">
      <c r="A51" s="156"/>
      <c r="B51" s="156"/>
      <c r="C51" s="156"/>
      <c r="D51" s="156"/>
      <c r="E51" s="156"/>
      <c r="F51" s="156"/>
      <c r="G51" s="156"/>
      <c r="H51" s="156"/>
      <c r="I51" s="156"/>
      <c r="J51" s="156"/>
      <c r="K51" s="156"/>
      <c r="L51" s="156"/>
      <c r="M51" s="12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</row>
    <row r="52" spans="1:26" x14ac:dyDescent="0.25">
      <c r="A52" s="156"/>
      <c r="B52" s="156"/>
      <c r="C52" s="156"/>
      <c r="D52" s="156"/>
      <c r="E52" s="156"/>
      <c r="F52" s="156"/>
      <c r="G52" s="156"/>
      <c r="H52" s="156"/>
      <c r="I52" s="156"/>
      <c r="J52" s="156"/>
      <c r="K52" s="156"/>
      <c r="L52" s="156"/>
      <c r="M52" s="12"/>
      <c r="N52" s="237" t="s">
        <v>263</v>
      </c>
      <c r="O52" s="237"/>
      <c r="P52" s="237"/>
      <c r="Q52" s="237"/>
      <c r="R52" s="237"/>
      <c r="S52" s="237"/>
      <c r="T52" s="237"/>
      <c r="U52" s="237"/>
      <c r="V52" s="237"/>
      <c r="W52" s="237"/>
      <c r="X52" s="237"/>
      <c r="Y52" s="237"/>
      <c r="Z52" s="237"/>
    </row>
    <row r="53" spans="1:26" x14ac:dyDescent="0.25">
      <c r="A53" s="156"/>
      <c r="B53" s="156"/>
      <c r="C53" s="156"/>
      <c r="D53" s="156"/>
      <c r="E53" s="156"/>
      <c r="F53" s="156"/>
      <c r="G53" s="156"/>
      <c r="H53" s="156"/>
      <c r="I53" s="156"/>
      <c r="J53" s="156"/>
      <c r="K53" s="156"/>
      <c r="L53" s="156"/>
      <c r="M53" s="49"/>
      <c r="N53" s="48"/>
      <c r="O53" s="48"/>
      <c r="P53" s="48"/>
      <c r="Q53" s="48"/>
      <c r="R53" s="48"/>
      <c r="S53" s="48"/>
      <c r="T53" s="48"/>
      <c r="U53" s="48"/>
      <c r="V53" s="52"/>
      <c r="W53" s="48"/>
      <c r="X53" s="48"/>
      <c r="Y53" s="48"/>
      <c r="Z53" s="48"/>
    </row>
    <row r="54" spans="1:26" x14ac:dyDescent="0.25">
      <c r="A54" s="291"/>
      <c r="B54" s="291"/>
      <c r="C54" s="291"/>
      <c r="D54" s="291"/>
      <c r="E54" s="291"/>
      <c r="F54" s="291"/>
      <c r="G54" s="291"/>
      <c r="H54" s="291"/>
      <c r="I54" s="291"/>
      <c r="J54" s="291"/>
      <c r="K54" s="291"/>
      <c r="L54" s="291"/>
      <c r="M54" s="291"/>
      <c r="N54" s="291"/>
      <c r="O54" s="291"/>
      <c r="P54" s="291"/>
      <c r="Q54" s="291"/>
      <c r="R54" s="291"/>
      <c r="S54" s="291"/>
      <c r="T54" s="291"/>
      <c r="U54" s="291"/>
      <c r="V54" s="291"/>
      <c r="W54" s="291"/>
      <c r="X54" s="291"/>
      <c r="Y54" s="291"/>
      <c r="Z54" s="291"/>
    </row>
    <row r="58" spans="1:26" x14ac:dyDescent="0.25">
      <c r="A58" s="160"/>
      <c r="B58" s="160"/>
      <c r="C58" s="160"/>
      <c r="D58" s="160"/>
      <c r="E58" s="160"/>
      <c r="F58" s="160"/>
      <c r="G58" s="160"/>
      <c r="H58" s="160"/>
      <c r="I58" s="160"/>
      <c r="J58" s="160"/>
      <c r="K58" s="160"/>
      <c r="L58" s="161"/>
    </row>
    <row r="59" spans="1:26" x14ac:dyDescent="0.25">
      <c r="A59" s="160"/>
      <c r="B59" s="160"/>
      <c r="C59" s="160"/>
      <c r="D59" s="160"/>
      <c r="E59" s="160"/>
      <c r="F59" s="160"/>
      <c r="G59" s="160"/>
      <c r="H59" s="160"/>
      <c r="I59" s="160"/>
      <c r="J59" s="160"/>
      <c r="K59" s="160"/>
      <c r="L59" s="160"/>
    </row>
    <row r="60" spans="1:26" x14ac:dyDescent="0.25">
      <c r="A60" s="156"/>
      <c r="B60" s="156"/>
      <c r="C60" s="156"/>
      <c r="D60" s="156"/>
      <c r="E60" s="156"/>
      <c r="F60" s="156"/>
      <c r="G60" s="156"/>
      <c r="H60" s="156"/>
      <c r="I60" s="156"/>
      <c r="J60" s="156"/>
      <c r="K60" s="156"/>
      <c r="L60" s="156"/>
    </row>
    <row r="61" spans="1:26" x14ac:dyDescent="0.25">
      <c r="A61" s="156"/>
      <c r="B61" s="156"/>
      <c r="C61" s="156"/>
      <c r="D61" s="156"/>
      <c r="E61" s="156"/>
      <c r="F61" s="156"/>
      <c r="G61" s="156"/>
      <c r="H61" s="156"/>
      <c r="I61" s="156"/>
      <c r="J61" s="156"/>
      <c r="K61" s="156"/>
      <c r="L61" s="156"/>
    </row>
    <row r="62" spans="1:26" x14ac:dyDescent="0.25">
      <c r="A62" s="156"/>
      <c r="B62" s="156"/>
      <c r="C62" s="156"/>
      <c r="D62" s="156"/>
      <c r="E62" s="156"/>
      <c r="F62" s="156"/>
      <c r="G62" s="156"/>
      <c r="H62" s="156"/>
      <c r="I62" s="156"/>
      <c r="J62" s="156"/>
      <c r="K62" s="156"/>
      <c r="L62" s="156"/>
    </row>
    <row r="63" spans="1:26" x14ac:dyDescent="0.25">
      <c r="A63" s="156"/>
      <c r="B63" s="156"/>
      <c r="C63" s="156"/>
      <c r="D63" s="156"/>
      <c r="E63" s="156"/>
      <c r="F63" s="156"/>
      <c r="G63" s="156"/>
      <c r="H63" s="156"/>
      <c r="I63" s="156"/>
      <c r="J63" s="156"/>
      <c r="K63" s="156"/>
      <c r="L63" s="156"/>
    </row>
    <row r="64" spans="1:26" x14ac:dyDescent="0.25">
      <c r="A64" s="156"/>
      <c r="B64" s="156"/>
      <c r="C64" s="156"/>
      <c r="D64" s="156"/>
      <c r="E64" s="156"/>
      <c r="F64" s="156"/>
      <c r="G64" s="156"/>
      <c r="H64" s="156"/>
      <c r="I64" s="156"/>
      <c r="J64" s="156"/>
      <c r="K64" s="156"/>
      <c r="L64" s="156"/>
    </row>
    <row r="65" spans="1:12" x14ac:dyDescent="0.25">
      <c r="A65" s="159"/>
      <c r="B65" s="159"/>
      <c r="C65" s="159"/>
      <c r="D65" s="159"/>
      <c r="E65" s="159"/>
      <c r="F65" s="159"/>
      <c r="G65" s="159"/>
      <c r="H65" s="159"/>
      <c r="I65" s="159"/>
      <c r="J65" s="159"/>
      <c r="K65" s="159"/>
      <c r="L65" s="159"/>
    </row>
    <row r="66" spans="1:12" x14ac:dyDescent="0.25">
      <c r="A66" s="156"/>
      <c r="B66" s="156"/>
      <c r="C66" s="156"/>
      <c r="D66" s="156"/>
      <c r="E66" s="156"/>
      <c r="F66" s="156"/>
      <c r="G66" s="156"/>
      <c r="H66" s="156"/>
      <c r="I66" s="156"/>
      <c r="J66" s="156"/>
      <c r="K66" s="156"/>
      <c r="L66" s="156"/>
    </row>
  </sheetData>
  <dataConsolidate/>
  <customSheetViews>
    <customSheetView guid="{D7858EE5-5A2B-4DA3-AFDF-B47720F98719}" showPageBreaks="1" showGridLines="0" printArea="1" view="pageLayout" topLeftCell="D1">
      <selection activeCell="AI23" sqref="AI23:AO34"/>
      <pageMargins left="0.24621212121212122" right="3.787878787878788E-2" top="0.27083333333333331" bottom="0.18939393939393939" header="0.3" footer="0.3"/>
      <pageSetup paperSize="9" orientation="portrait" r:id="rId1"/>
    </customSheetView>
  </customSheetViews>
  <mergeCells count="222">
    <mergeCell ref="Q36:V36"/>
    <mergeCell ref="Q26:V26"/>
    <mergeCell ref="M31:N31"/>
    <mergeCell ref="O31:P31"/>
    <mergeCell ref="Q31:V31"/>
    <mergeCell ref="B20:F20"/>
    <mergeCell ref="B22:F22"/>
    <mergeCell ref="B23:F23"/>
    <mergeCell ref="B24:F24"/>
    <mergeCell ref="B18:F19"/>
    <mergeCell ref="G20:L20"/>
    <mergeCell ref="G21:L21"/>
    <mergeCell ref="S4:W4"/>
    <mergeCell ref="A54:Z54"/>
    <mergeCell ref="B38:L38"/>
    <mergeCell ref="B42:L42"/>
    <mergeCell ref="B43:L43"/>
    <mergeCell ref="B46:D46"/>
    <mergeCell ref="B44:G44"/>
    <mergeCell ref="H44:L44"/>
    <mergeCell ref="G22:L22"/>
    <mergeCell ref="M37:V37"/>
    <mergeCell ref="M10:Z10"/>
    <mergeCell ref="M11:S11"/>
    <mergeCell ref="Q14:V16"/>
    <mergeCell ref="Q17:V17"/>
    <mergeCell ref="Q18:V19"/>
    <mergeCell ref="Q20:V20"/>
    <mergeCell ref="Q29:V29"/>
    <mergeCell ref="AL20:AN20"/>
    <mergeCell ref="AP20:AR20"/>
    <mergeCell ref="W29:Z29"/>
    <mergeCell ref="W24:Z24"/>
    <mergeCell ref="Q21:V21"/>
    <mergeCell ref="Q22:V22"/>
    <mergeCell ref="Q23:V23"/>
    <mergeCell ref="Q24:V24"/>
    <mergeCell ref="AL21:AN21"/>
    <mergeCell ref="AP21:AR21"/>
    <mergeCell ref="G14:H14"/>
    <mergeCell ref="I14:L14"/>
    <mergeCell ref="G15:L15"/>
    <mergeCell ref="G13:L13"/>
    <mergeCell ref="G18:L19"/>
    <mergeCell ref="Q13:V13"/>
    <mergeCell ref="AL12:AN12"/>
    <mergeCell ref="AP12:AR12"/>
    <mergeCell ref="AL13:AN13"/>
    <mergeCell ref="AP13:AR13"/>
    <mergeCell ref="AL14:AN14"/>
    <mergeCell ref="AP14:AR14"/>
    <mergeCell ref="AL15:AN15"/>
    <mergeCell ref="AP15:AR15"/>
    <mergeCell ref="AL16:AN16"/>
    <mergeCell ref="AP16:AR16"/>
    <mergeCell ref="AL19:AN19"/>
    <mergeCell ref="AP19:AR19"/>
    <mergeCell ref="AL17:AN17"/>
    <mergeCell ref="AP17:AR17"/>
    <mergeCell ref="AL18:AN18"/>
    <mergeCell ref="AP18:AR18"/>
    <mergeCell ref="G16:L16"/>
    <mergeCell ref="G17:L17"/>
    <mergeCell ref="AL42:AN42"/>
    <mergeCell ref="AP42:AR42"/>
    <mergeCell ref="AL43:AN43"/>
    <mergeCell ref="AP43:AR43"/>
    <mergeCell ref="AL45:AN45"/>
    <mergeCell ref="AP45:AR45"/>
    <mergeCell ref="AL23:AR36"/>
    <mergeCell ref="AL37:AN37"/>
    <mergeCell ref="AP37:AR37"/>
    <mergeCell ref="AL38:AN38"/>
    <mergeCell ref="AP38:AR38"/>
    <mergeCell ref="AL39:AN39"/>
    <mergeCell ref="AP39:AR39"/>
    <mergeCell ref="AL40:AN40"/>
    <mergeCell ref="AP40:AR40"/>
    <mergeCell ref="AL41:AN41"/>
    <mergeCell ref="AP41:AR41"/>
    <mergeCell ref="N52:Z52"/>
    <mergeCell ref="W37:Z37"/>
    <mergeCell ref="W38:Z38"/>
    <mergeCell ref="B30:F30"/>
    <mergeCell ref="B35:F35"/>
    <mergeCell ref="B36:F36"/>
    <mergeCell ref="B26:F26"/>
    <mergeCell ref="B27:F27"/>
    <mergeCell ref="B28:F28"/>
    <mergeCell ref="W26:Z26"/>
    <mergeCell ref="W27:Z27"/>
    <mergeCell ref="W28:Z28"/>
    <mergeCell ref="G26:L26"/>
    <mergeCell ref="G27:L27"/>
    <mergeCell ref="G28:L28"/>
    <mergeCell ref="Q27:V27"/>
    <mergeCell ref="Q28:V28"/>
    <mergeCell ref="M38:V38"/>
    <mergeCell ref="M39:V39"/>
    <mergeCell ref="G30:L30"/>
    <mergeCell ref="G35:L35"/>
    <mergeCell ref="G36:L36"/>
    <mergeCell ref="T46:Z46"/>
    <mergeCell ref="M30:N30"/>
    <mergeCell ref="B13:F13"/>
    <mergeCell ref="A11:G11"/>
    <mergeCell ref="J7:Z7"/>
    <mergeCell ref="A8:G8"/>
    <mergeCell ref="A14:A16"/>
    <mergeCell ref="B14:E14"/>
    <mergeCell ref="B25:F25"/>
    <mergeCell ref="W18:Z19"/>
    <mergeCell ref="W21:Z21"/>
    <mergeCell ref="W22:Z22"/>
    <mergeCell ref="W23:Z23"/>
    <mergeCell ref="W17:Z17"/>
    <mergeCell ref="W14:Z16"/>
    <mergeCell ref="E15:F15"/>
    <mergeCell ref="W25:Z25"/>
    <mergeCell ref="W20:Z20"/>
    <mergeCell ref="M13:N13"/>
    <mergeCell ref="M14:N16"/>
    <mergeCell ref="M17:N17"/>
    <mergeCell ref="Q25:V25"/>
    <mergeCell ref="M22:N22"/>
    <mergeCell ref="A18:A19"/>
    <mergeCell ref="B17:F17"/>
    <mergeCell ref="A10:H10"/>
    <mergeCell ref="W36:Z36"/>
    <mergeCell ref="I8:L8"/>
    <mergeCell ref="I9:L9"/>
    <mergeCell ref="I10:L10"/>
    <mergeCell ref="M8:Z8"/>
    <mergeCell ref="M9:Z9"/>
    <mergeCell ref="O36:P36"/>
    <mergeCell ref="M26:N26"/>
    <mergeCell ref="I11:L11"/>
    <mergeCell ref="W31:Z31"/>
    <mergeCell ref="M32:N32"/>
    <mergeCell ref="O32:P32"/>
    <mergeCell ref="Q32:V32"/>
    <mergeCell ref="W32:Z32"/>
    <mergeCell ref="M23:N23"/>
    <mergeCell ref="M24:N24"/>
    <mergeCell ref="M25:N25"/>
    <mergeCell ref="G25:L25"/>
    <mergeCell ref="J24:L24"/>
    <mergeCell ref="G29:L29"/>
    <mergeCell ref="G31:L31"/>
    <mergeCell ref="G32:L32"/>
    <mergeCell ref="Q30:V30"/>
    <mergeCell ref="Q35:V35"/>
    <mergeCell ref="AI6:AJ6"/>
    <mergeCell ref="AG9:AH9"/>
    <mergeCell ref="AG10:AH10"/>
    <mergeCell ref="AD30:AE30"/>
    <mergeCell ref="M27:N27"/>
    <mergeCell ref="M28:N28"/>
    <mergeCell ref="M29:N29"/>
    <mergeCell ref="M18:N19"/>
    <mergeCell ref="M20:N20"/>
    <mergeCell ref="M21:N21"/>
    <mergeCell ref="AA6:AD6"/>
    <mergeCell ref="O13:P13"/>
    <mergeCell ref="O14:P16"/>
    <mergeCell ref="O17:P17"/>
    <mergeCell ref="O18:P19"/>
    <mergeCell ref="O20:P20"/>
    <mergeCell ref="AF6:AH6"/>
    <mergeCell ref="O21:P21"/>
    <mergeCell ref="O22:P22"/>
    <mergeCell ref="O23:P23"/>
    <mergeCell ref="A12:Z12"/>
    <mergeCell ref="A7:H7"/>
    <mergeCell ref="W13:Z13"/>
    <mergeCell ref="E16:F16"/>
    <mergeCell ref="C15:D15"/>
    <mergeCell ref="C16:D16"/>
    <mergeCell ref="G23:J23"/>
    <mergeCell ref="K23:L23"/>
    <mergeCell ref="A47:L47"/>
    <mergeCell ref="A48:L48"/>
    <mergeCell ref="AL46:AN46"/>
    <mergeCell ref="AP46:AR46"/>
    <mergeCell ref="O24:P24"/>
    <mergeCell ref="O25:P25"/>
    <mergeCell ref="O26:P26"/>
    <mergeCell ref="O27:P27"/>
    <mergeCell ref="O28:P28"/>
    <mergeCell ref="O29:P29"/>
    <mergeCell ref="O30:P30"/>
    <mergeCell ref="O35:P35"/>
    <mergeCell ref="AB38:AF38"/>
    <mergeCell ref="N46:S46"/>
    <mergeCell ref="W39:Z39"/>
    <mergeCell ref="N45:Z45"/>
    <mergeCell ref="M35:N35"/>
    <mergeCell ref="M36:N36"/>
    <mergeCell ref="W30:Z30"/>
    <mergeCell ref="W35:Z35"/>
    <mergeCell ref="A66:L66"/>
    <mergeCell ref="A49:L49"/>
    <mergeCell ref="A50:L50"/>
    <mergeCell ref="A51:L51"/>
    <mergeCell ref="A52:L52"/>
    <mergeCell ref="A53:L53"/>
    <mergeCell ref="G24:I24"/>
    <mergeCell ref="B45:L45"/>
    <mergeCell ref="A65:L65"/>
    <mergeCell ref="A63:L63"/>
    <mergeCell ref="A62:L62"/>
    <mergeCell ref="A61:L61"/>
    <mergeCell ref="A60:L60"/>
    <mergeCell ref="A59:L59"/>
    <mergeCell ref="A58:L58"/>
    <mergeCell ref="A37:L37"/>
    <mergeCell ref="A64:L64"/>
    <mergeCell ref="A39:L41"/>
    <mergeCell ref="E46:L46"/>
    <mergeCell ref="B31:F31"/>
    <mergeCell ref="B32:F32"/>
    <mergeCell ref="B29:F29"/>
  </mergeCells>
  <pageMargins left="0.24621212121212122" right="3.787878787878788E-2" top="0.27083333333333331" bottom="0.18939393939393939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57" r:id="rId5" name="CommandButton3">
          <controlPr defaultSize="0" autoLine="0" r:id="rId6">
            <anchor moveWithCells="1">
              <from>
                <xdr:col>36</xdr:col>
                <xdr:colOff>352425</xdr:colOff>
                <xdr:row>0</xdr:row>
                <xdr:rowOff>114300</xdr:rowOff>
              </from>
              <to>
                <xdr:col>37</xdr:col>
                <xdr:colOff>352425</xdr:colOff>
                <xdr:row>3</xdr:row>
                <xdr:rowOff>9525</xdr:rowOff>
              </to>
            </anchor>
          </controlPr>
        </control>
      </mc:Choice>
      <mc:Fallback>
        <control shapeId="1057" r:id="rId5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Sheet3!$B$3:$B$74</xm:f>
          </x14:formula1>
          <xm:sqref>AC7</xm:sqref>
        </x14:dataValidation>
        <x14:dataValidation type="list" allowBlank="1" showInputMessage="1" showErrorMessage="1">
          <x14:formula1>
            <xm:f>Sheet3!$D$3:$D$74</xm:f>
          </x14:formula1>
          <xm:sqref>AC8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64"/>
  <sheetViews>
    <sheetView topLeftCell="G36" zoomScale="120" zoomScaleNormal="120" workbookViewId="0">
      <selection activeCell="S49" sqref="S49"/>
    </sheetView>
  </sheetViews>
  <sheetFormatPr defaultRowHeight="15" x14ac:dyDescent="0.25"/>
  <cols>
    <col min="11" max="11" width="5.42578125" customWidth="1"/>
    <col min="23" max="23" width="2.5703125" customWidth="1"/>
  </cols>
  <sheetData>
    <row r="1" spans="1:16" x14ac:dyDescent="0.25">
      <c r="A1" t="s">
        <v>31</v>
      </c>
    </row>
    <row r="2" spans="1:16" x14ac:dyDescent="0.25">
      <c r="A2" t="s">
        <v>32</v>
      </c>
    </row>
    <row r="4" spans="1:16" x14ac:dyDescent="0.25">
      <c r="A4" t="s">
        <v>69</v>
      </c>
      <c r="D4" s="310" t="s">
        <v>68</v>
      </c>
      <c r="E4" s="310"/>
      <c r="F4" s="310"/>
    </row>
    <row r="5" spans="1:16" x14ac:dyDescent="0.25">
      <c r="A5" t="s">
        <v>70</v>
      </c>
      <c r="D5" s="310" t="s">
        <v>140</v>
      </c>
      <c r="E5" s="310"/>
      <c r="F5" s="310"/>
    </row>
    <row r="6" spans="1:16" x14ac:dyDescent="0.25">
      <c r="A6" t="s">
        <v>71</v>
      </c>
      <c r="D6" s="309"/>
      <c r="E6" s="309"/>
      <c r="F6" s="309"/>
    </row>
    <row r="7" spans="1:16" x14ac:dyDescent="0.25">
      <c r="A7" t="s">
        <v>72</v>
      </c>
      <c r="D7" s="309"/>
      <c r="E7" s="309"/>
      <c r="F7" s="309"/>
    </row>
    <row r="8" spans="1:16" x14ac:dyDescent="0.25">
      <c r="A8" t="s">
        <v>73</v>
      </c>
      <c r="D8" s="309"/>
      <c r="E8" s="309"/>
      <c r="F8" s="309"/>
    </row>
    <row r="9" spans="1:16" x14ac:dyDescent="0.25">
      <c r="A9" s="310" t="s">
        <v>141</v>
      </c>
      <c r="B9" s="310"/>
      <c r="D9" s="309"/>
      <c r="E9" s="309"/>
      <c r="F9" s="309"/>
    </row>
    <row r="10" spans="1:16" x14ac:dyDescent="0.25">
      <c r="D10" s="309"/>
      <c r="E10" s="309"/>
      <c r="F10" s="309"/>
    </row>
    <row r="11" spans="1:16" ht="18.75" x14ac:dyDescent="0.3">
      <c r="A11" s="31" t="s">
        <v>100</v>
      </c>
      <c r="B11" s="30"/>
      <c r="C11" s="30"/>
      <c r="D11" s="309"/>
      <c r="E11" s="309"/>
      <c r="F11" s="309"/>
    </row>
    <row r="12" spans="1:16" ht="18.75" x14ac:dyDescent="0.3">
      <c r="A12" s="31" t="s">
        <v>101</v>
      </c>
      <c r="B12" s="30"/>
      <c r="C12" s="30"/>
      <c r="D12" s="309"/>
      <c r="E12" s="309"/>
      <c r="F12" s="309"/>
    </row>
    <row r="13" spans="1:16" ht="18.75" customHeight="1" x14ac:dyDescent="0.3">
      <c r="A13" s="31" t="s">
        <v>102</v>
      </c>
      <c r="B13" s="30"/>
      <c r="C13" s="30"/>
      <c r="J13" s="309" t="s">
        <v>117</v>
      </c>
      <c r="K13" s="309"/>
      <c r="L13" s="309"/>
      <c r="M13" s="309"/>
    </row>
    <row r="14" spans="1:16" ht="18.75" customHeight="1" x14ac:dyDescent="0.3">
      <c r="A14" s="31" t="s">
        <v>103</v>
      </c>
      <c r="B14" s="30"/>
      <c r="C14" s="30"/>
      <c r="D14" s="309"/>
      <c r="E14" s="309"/>
      <c r="F14" s="309" t="str">
        <f>IF(J14&lt;=1.2,"NOVASTAR TB 20",IF(J14&lt;=2.4,"NOVASTAR V760",IF(J14&lt;=4.3,"NOVASTAR V960",IF(J14&lt;=6.3,"NOVASTAR VX600"))))</f>
        <v>NOVASTAR TB 20</v>
      </c>
      <c r="G14" s="309"/>
      <c r="H14" s="309"/>
      <c r="I14" s="309"/>
      <c r="J14" s="319">
        <f>C57</f>
        <v>0.76381679389312973</v>
      </c>
      <c r="K14" s="319"/>
      <c r="L14" s="319"/>
      <c r="M14" s="319"/>
      <c r="P14" t="s">
        <v>121</v>
      </c>
    </row>
    <row r="15" spans="1:16" ht="18.75" customHeight="1" x14ac:dyDescent="0.3">
      <c r="A15" s="31" t="s">
        <v>104</v>
      </c>
      <c r="B15" s="30"/>
      <c r="C15" s="30"/>
      <c r="D15" s="309"/>
      <c r="E15" s="309"/>
      <c r="F15" s="309" t="str">
        <f>IF(J14&lt;=2.4,"HUIDU VP210",IF(J14&lt;=4.3,"NOVASTAR VX400",IF(J14&lt;=6.3,"HUIDU VP620")))</f>
        <v>HUIDU VP210</v>
      </c>
      <c r="G15" s="309"/>
      <c r="H15" s="309"/>
      <c r="I15" s="309"/>
      <c r="J15" s="319"/>
      <c r="K15" s="319"/>
      <c r="L15" s="319"/>
      <c r="M15" s="319"/>
      <c r="P15" t="s">
        <v>119</v>
      </c>
    </row>
    <row r="16" spans="1:16" ht="18.75" customHeight="1" x14ac:dyDescent="0.3">
      <c r="A16" s="31" t="s">
        <v>105</v>
      </c>
      <c r="B16" s="30"/>
      <c r="C16" s="30"/>
      <c r="D16" s="309"/>
      <c r="E16" s="309"/>
      <c r="F16" s="309" t="b">
        <f>IF(J14&gt;1&lt;2.3,"NOVASTAR TB 50",IF(J14&gt;2.3&lt;4.3,"HUIDU V410",IF(J14&gt;4.3&lt;6.3,"HUIDU VX620")))</f>
        <v>0</v>
      </c>
      <c r="G16" s="309"/>
      <c r="H16" s="309"/>
      <c r="I16" s="309"/>
      <c r="J16" s="319"/>
      <c r="K16" s="319"/>
      <c r="L16" s="319"/>
      <c r="M16" s="319"/>
      <c r="P16" t="s">
        <v>120</v>
      </c>
    </row>
    <row r="17" spans="1:23" ht="18.75" customHeight="1" x14ac:dyDescent="0.3">
      <c r="A17" s="31" t="s">
        <v>106</v>
      </c>
      <c r="B17" s="30"/>
      <c r="C17" s="30"/>
      <c r="D17" s="309"/>
      <c r="E17" s="309"/>
      <c r="F17" s="309" t="str">
        <f>IF(J14&lt;&gt;4,"NOVASTAR V960")</f>
        <v>NOVASTAR V960</v>
      </c>
      <c r="G17" s="309"/>
      <c r="H17" s="309"/>
      <c r="I17" s="309"/>
      <c r="J17" s="319"/>
      <c r="K17" s="319"/>
      <c r="L17" s="319"/>
      <c r="M17" s="319"/>
      <c r="P17" t="s">
        <v>118</v>
      </c>
    </row>
    <row r="18" spans="1:23" ht="18.75" customHeight="1" x14ac:dyDescent="0.3">
      <c r="A18" s="31" t="s">
        <v>107</v>
      </c>
      <c r="B18" s="30"/>
      <c r="C18" s="30"/>
      <c r="D18" s="309"/>
      <c r="E18" s="309"/>
      <c r="F18" s="309" t="str">
        <f>IF(J14&lt;&gt;3.4,"NOVASTAR VX400")</f>
        <v>NOVASTAR VX400</v>
      </c>
      <c r="G18" s="309"/>
      <c r="H18" s="309"/>
      <c r="I18" s="309"/>
      <c r="J18" s="319"/>
      <c r="K18" s="319"/>
      <c r="L18" s="319"/>
      <c r="M18" s="319"/>
    </row>
    <row r="19" spans="1:23" ht="18.75" customHeight="1" x14ac:dyDescent="0.3">
      <c r="A19" s="31" t="s">
        <v>108</v>
      </c>
      <c r="B19" s="30"/>
      <c r="C19" s="30"/>
      <c r="D19" s="309"/>
      <c r="E19" s="309"/>
      <c r="F19" s="309" t="str">
        <f>IF(J14&lt;&gt;3.4,"NOVASTAR TB60")</f>
        <v>NOVASTAR TB60</v>
      </c>
      <c r="G19" s="309"/>
      <c r="H19" s="309"/>
      <c r="I19" s="309"/>
      <c r="J19" s="319"/>
      <c r="K19" s="319"/>
      <c r="L19" s="319"/>
      <c r="M19" s="319"/>
    </row>
    <row r="20" spans="1:23" ht="18.75" customHeight="1" x14ac:dyDescent="0.3">
      <c r="A20" s="31" t="s">
        <v>109</v>
      </c>
      <c r="B20" s="30"/>
      <c r="C20" s="30"/>
    </row>
    <row r="25" spans="1:23" ht="15.75" x14ac:dyDescent="0.25">
      <c r="A25" s="26" t="s">
        <v>76</v>
      </c>
      <c r="B25" s="320" t="s">
        <v>77</v>
      </c>
      <c r="C25" s="320"/>
      <c r="D25" s="320"/>
      <c r="E25" s="27" t="s">
        <v>78</v>
      </c>
      <c r="F25" s="320" t="s">
        <v>79</v>
      </c>
      <c r="G25" s="320"/>
      <c r="H25" s="320"/>
      <c r="I25" s="320" t="s">
        <v>80</v>
      </c>
      <c r="J25" s="320"/>
      <c r="K25" s="320"/>
      <c r="M25" s="26" t="s">
        <v>76</v>
      </c>
      <c r="N25" s="320" t="s">
        <v>77</v>
      </c>
      <c r="O25" s="320"/>
      <c r="P25" s="320"/>
      <c r="Q25" s="27" t="s">
        <v>78</v>
      </c>
      <c r="R25" s="320" t="s">
        <v>79</v>
      </c>
      <c r="S25" s="320"/>
      <c r="T25" s="320"/>
      <c r="U25" s="320" t="s">
        <v>80</v>
      </c>
      <c r="V25" s="320"/>
      <c r="W25" s="320"/>
    </row>
    <row r="26" spans="1:23" ht="18.75" x14ac:dyDescent="0.3">
      <c r="A26" s="28">
        <v>1</v>
      </c>
      <c r="B26" s="167" t="s">
        <v>81</v>
      </c>
      <c r="C26" s="168"/>
      <c r="D26" s="169"/>
      <c r="E26" s="29">
        <v>2</v>
      </c>
      <c r="F26" s="170">
        <v>2900000</v>
      </c>
      <c r="G26" s="170"/>
      <c r="H26" s="170"/>
      <c r="I26" s="170"/>
      <c r="J26" s="170"/>
      <c r="K26" s="170"/>
      <c r="M26" s="28">
        <v>1</v>
      </c>
      <c r="N26" s="167" t="s">
        <v>82</v>
      </c>
      <c r="O26" s="168"/>
      <c r="P26" s="169"/>
      <c r="Q26" s="29">
        <v>2</v>
      </c>
      <c r="R26" s="170">
        <v>1800000</v>
      </c>
      <c r="S26" s="170"/>
      <c r="T26" s="170"/>
      <c r="U26" s="170"/>
      <c r="V26" s="170"/>
      <c r="W26" s="170"/>
    </row>
    <row r="27" spans="1:23" ht="18.75" x14ac:dyDescent="0.3">
      <c r="A27" s="28">
        <v>2</v>
      </c>
      <c r="B27" s="167" t="s">
        <v>83</v>
      </c>
      <c r="C27" s="168"/>
      <c r="D27" s="169"/>
      <c r="E27" s="29">
        <v>4</v>
      </c>
      <c r="F27" s="170">
        <v>7500000</v>
      </c>
      <c r="G27" s="170"/>
      <c r="H27" s="170"/>
      <c r="I27" s="170"/>
      <c r="J27" s="170"/>
      <c r="K27" s="170"/>
      <c r="M27" s="28">
        <v>2</v>
      </c>
      <c r="N27" s="167" t="s">
        <v>84</v>
      </c>
      <c r="O27" s="168"/>
      <c r="P27" s="169"/>
      <c r="Q27" s="29">
        <v>4</v>
      </c>
      <c r="R27" s="170">
        <v>2900000</v>
      </c>
      <c r="S27" s="170"/>
      <c r="T27" s="170"/>
      <c r="U27" s="170"/>
      <c r="V27" s="170"/>
      <c r="W27" s="170"/>
    </row>
    <row r="28" spans="1:23" ht="18.75" x14ac:dyDescent="0.3">
      <c r="A28" s="28">
        <v>3</v>
      </c>
      <c r="B28" s="167" t="s">
        <v>85</v>
      </c>
      <c r="C28" s="168"/>
      <c r="D28" s="169"/>
      <c r="E28" s="29">
        <v>4</v>
      </c>
      <c r="F28" s="170">
        <v>15000000</v>
      </c>
      <c r="G28" s="170"/>
      <c r="H28" s="170"/>
      <c r="I28" s="170"/>
      <c r="J28" s="170"/>
      <c r="K28" s="170"/>
      <c r="M28" s="28">
        <v>3</v>
      </c>
      <c r="N28" s="167" t="s">
        <v>86</v>
      </c>
      <c r="O28" s="168"/>
      <c r="P28" s="169"/>
      <c r="Q28" s="29">
        <v>4</v>
      </c>
      <c r="R28" s="170">
        <v>2250000</v>
      </c>
      <c r="S28" s="170"/>
      <c r="T28" s="170"/>
      <c r="U28" s="170"/>
      <c r="V28" s="170"/>
      <c r="W28" s="170"/>
    </row>
    <row r="29" spans="1:23" ht="18.75" x14ac:dyDescent="0.3">
      <c r="A29" s="28">
        <v>4</v>
      </c>
      <c r="B29" s="167" t="s">
        <v>87</v>
      </c>
      <c r="C29" s="168"/>
      <c r="D29" s="169"/>
      <c r="E29" s="29">
        <v>6</v>
      </c>
      <c r="F29" s="170">
        <v>18100000</v>
      </c>
      <c r="G29" s="170"/>
      <c r="H29" s="170"/>
      <c r="I29" s="170"/>
      <c r="J29" s="170"/>
      <c r="K29" s="170"/>
      <c r="M29" s="28">
        <v>4</v>
      </c>
      <c r="N29" s="167" t="s">
        <v>88</v>
      </c>
      <c r="O29" s="168"/>
      <c r="P29" s="169"/>
      <c r="Q29" s="29">
        <v>6</v>
      </c>
      <c r="R29" s="170">
        <v>6500000</v>
      </c>
      <c r="S29" s="170"/>
      <c r="T29" s="170"/>
      <c r="U29" s="170"/>
      <c r="V29" s="170"/>
      <c r="W29" s="170"/>
    </row>
    <row r="30" spans="1:23" ht="18.75" x14ac:dyDescent="0.3">
      <c r="A30" s="28">
        <v>5</v>
      </c>
      <c r="B30" s="167" t="s">
        <v>89</v>
      </c>
      <c r="C30" s="168"/>
      <c r="D30" s="169"/>
      <c r="E30" s="29">
        <v>10</v>
      </c>
      <c r="F30" s="170">
        <v>25000000</v>
      </c>
      <c r="G30" s="170"/>
      <c r="H30" s="170"/>
      <c r="I30" s="170"/>
      <c r="J30" s="170"/>
      <c r="K30" s="170"/>
      <c r="M30" s="28">
        <v>5</v>
      </c>
      <c r="N30" s="167" t="s">
        <v>90</v>
      </c>
      <c r="O30" s="168"/>
      <c r="P30" s="169"/>
      <c r="Q30" s="29">
        <v>8</v>
      </c>
      <c r="R30" s="170">
        <v>7400000</v>
      </c>
      <c r="S30" s="170"/>
      <c r="T30" s="170"/>
      <c r="U30" s="170"/>
      <c r="V30" s="170"/>
      <c r="W30" s="170"/>
    </row>
    <row r="31" spans="1:23" ht="18.75" x14ac:dyDescent="0.3">
      <c r="A31" s="28">
        <v>6</v>
      </c>
      <c r="B31" s="167" t="s">
        <v>91</v>
      </c>
      <c r="C31" s="168"/>
      <c r="D31" s="169"/>
      <c r="E31" s="29">
        <v>16</v>
      </c>
      <c r="F31" s="170">
        <v>52000000</v>
      </c>
      <c r="G31" s="170"/>
      <c r="H31" s="170"/>
      <c r="I31" s="170"/>
      <c r="J31" s="170"/>
      <c r="K31" s="170"/>
      <c r="M31" s="28">
        <v>6</v>
      </c>
      <c r="N31" s="167" t="s">
        <v>92</v>
      </c>
      <c r="O31" s="168"/>
      <c r="P31" s="169"/>
      <c r="Q31" s="29">
        <v>8</v>
      </c>
      <c r="R31" s="170">
        <v>9000000</v>
      </c>
      <c r="S31" s="170"/>
      <c r="T31" s="170"/>
      <c r="U31" s="170"/>
      <c r="V31" s="170"/>
      <c r="W31" s="170"/>
    </row>
    <row r="32" spans="1:23" ht="18.75" x14ac:dyDescent="0.3">
      <c r="A32" s="28">
        <v>7</v>
      </c>
      <c r="B32" s="167" t="s">
        <v>93</v>
      </c>
      <c r="C32" s="168"/>
      <c r="D32" s="169"/>
      <c r="E32" s="29" t="s">
        <v>94</v>
      </c>
      <c r="F32" s="170"/>
      <c r="G32" s="170"/>
      <c r="H32" s="170"/>
      <c r="I32" s="170"/>
      <c r="J32" s="170"/>
      <c r="K32" s="170"/>
      <c r="M32" s="28">
        <v>7</v>
      </c>
      <c r="N32" s="167" t="s">
        <v>95</v>
      </c>
      <c r="O32" s="168"/>
      <c r="P32" s="169"/>
      <c r="Q32" s="29">
        <v>12</v>
      </c>
      <c r="R32" s="170">
        <v>13000000</v>
      </c>
      <c r="S32" s="170"/>
      <c r="T32" s="170"/>
      <c r="U32" s="170"/>
      <c r="V32" s="170"/>
      <c r="W32" s="170"/>
    </row>
    <row r="33" spans="1:24" ht="18.75" x14ac:dyDescent="0.3">
      <c r="A33" s="28">
        <v>8</v>
      </c>
      <c r="B33" s="315" t="s">
        <v>96</v>
      </c>
      <c r="C33" s="316"/>
      <c r="D33" s="317"/>
      <c r="E33" s="29">
        <v>1</v>
      </c>
      <c r="F33" s="170">
        <v>3150000</v>
      </c>
      <c r="G33" s="170"/>
      <c r="H33" s="170"/>
      <c r="I33" s="170"/>
      <c r="J33" s="170"/>
      <c r="K33" s="170"/>
      <c r="M33" s="28">
        <v>8</v>
      </c>
      <c r="N33" s="167" t="s">
        <v>97</v>
      </c>
      <c r="O33" s="168"/>
      <c r="P33" s="169"/>
      <c r="Q33" s="29">
        <v>16</v>
      </c>
      <c r="R33" s="170">
        <v>19000000</v>
      </c>
      <c r="S33" s="170"/>
      <c r="T33" s="170"/>
      <c r="U33" s="170"/>
      <c r="V33" s="170"/>
      <c r="W33" s="170"/>
    </row>
    <row r="34" spans="1:24" ht="18.75" x14ac:dyDescent="0.3">
      <c r="A34" s="28">
        <v>9</v>
      </c>
      <c r="B34" s="315" t="s">
        <v>98</v>
      </c>
      <c r="C34" s="316"/>
      <c r="D34" s="317"/>
      <c r="E34" s="29">
        <v>2</v>
      </c>
      <c r="F34" s="170">
        <v>5900000</v>
      </c>
      <c r="G34" s="170"/>
      <c r="H34" s="170"/>
      <c r="I34" s="170"/>
      <c r="J34" s="170"/>
      <c r="K34" s="170"/>
      <c r="M34" s="28"/>
      <c r="N34" s="315" t="s">
        <v>122</v>
      </c>
      <c r="O34" s="316"/>
      <c r="P34" s="317"/>
      <c r="Q34" s="36">
        <v>2</v>
      </c>
      <c r="R34" s="312">
        <v>1800000</v>
      </c>
      <c r="S34" s="312"/>
      <c r="T34" s="312"/>
      <c r="U34" s="170"/>
      <c r="V34" s="170"/>
      <c r="W34" s="170"/>
      <c r="X34" t="s">
        <v>127</v>
      </c>
    </row>
    <row r="35" spans="1:24" ht="18.75" x14ac:dyDescent="0.3">
      <c r="A35" s="28">
        <v>10</v>
      </c>
      <c r="B35" s="315" t="s">
        <v>99</v>
      </c>
      <c r="C35" s="316"/>
      <c r="D35" s="317"/>
      <c r="E35" s="29">
        <v>4</v>
      </c>
      <c r="F35" s="170">
        <v>7500000</v>
      </c>
      <c r="G35" s="170"/>
      <c r="H35" s="170"/>
      <c r="I35" s="170"/>
      <c r="J35" s="170"/>
      <c r="K35" s="170"/>
      <c r="M35" s="28"/>
      <c r="N35" s="167"/>
      <c r="O35" s="168"/>
      <c r="P35" s="169"/>
      <c r="Q35" s="29"/>
      <c r="R35" s="170"/>
      <c r="S35" s="170"/>
      <c r="T35" s="170"/>
      <c r="U35" s="170"/>
      <c r="V35" s="170"/>
      <c r="W35" s="170"/>
    </row>
    <row r="36" spans="1:24" ht="18.75" x14ac:dyDescent="0.3">
      <c r="A36" s="28"/>
      <c r="B36" s="167"/>
      <c r="C36" s="168"/>
      <c r="D36" s="169"/>
      <c r="E36" s="29"/>
      <c r="F36" s="318"/>
      <c r="G36" s="318"/>
      <c r="H36" s="318"/>
      <c r="I36" s="318"/>
      <c r="J36" s="318"/>
      <c r="K36" s="318"/>
      <c r="M36" s="28"/>
      <c r="N36" s="167"/>
      <c r="O36" s="168"/>
      <c r="P36" s="169"/>
      <c r="Q36" s="29"/>
      <c r="R36" s="170"/>
      <c r="S36" s="170"/>
      <c r="T36" s="170"/>
      <c r="U36" s="318"/>
      <c r="V36" s="318"/>
      <c r="W36" s="318"/>
    </row>
    <row r="37" spans="1:24" ht="18.75" x14ac:dyDescent="0.3">
      <c r="A37" s="28"/>
      <c r="B37" s="167"/>
      <c r="C37" s="168"/>
      <c r="D37" s="169"/>
      <c r="E37" s="29"/>
      <c r="F37" s="318"/>
      <c r="G37" s="318"/>
      <c r="H37" s="318"/>
      <c r="I37" s="318"/>
      <c r="J37" s="318"/>
      <c r="K37" s="318"/>
      <c r="M37" s="28"/>
      <c r="N37" s="167"/>
      <c r="O37" s="168"/>
      <c r="P37" s="169"/>
      <c r="Q37" s="29"/>
      <c r="R37" s="318"/>
      <c r="S37" s="318"/>
      <c r="T37" s="318"/>
      <c r="U37" s="318"/>
      <c r="V37" s="318"/>
      <c r="W37" s="318"/>
    </row>
    <row r="40" spans="1:24" x14ac:dyDescent="0.25">
      <c r="B40" s="181" t="s">
        <v>123</v>
      </c>
      <c r="C40" s="181"/>
      <c r="D40" s="181"/>
      <c r="L40" s="181" t="s">
        <v>124</v>
      </c>
      <c r="M40" s="181"/>
      <c r="N40" s="181"/>
    </row>
    <row r="41" spans="1:24" ht="18.75" x14ac:dyDescent="0.3">
      <c r="A41">
        <v>1</v>
      </c>
      <c r="B41" s="167" t="str">
        <f>IF(J14&lt;=2.3,"V760",)</f>
        <v>V760</v>
      </c>
      <c r="C41" s="168"/>
      <c r="D41" s="169"/>
      <c r="E41" s="170">
        <v>2900000</v>
      </c>
      <c r="F41" s="170"/>
      <c r="G41" s="170"/>
      <c r="L41" s="167" t="str">
        <f>IF(J14&lt;=2.3,"VP210",)</f>
        <v>VP210</v>
      </c>
      <c r="M41" s="168"/>
      <c r="N41" s="169"/>
      <c r="O41" s="170">
        <v>1800000</v>
      </c>
      <c r="P41" s="170"/>
      <c r="Q41" s="170"/>
      <c r="S41" s="37" t="str">
        <f>IF(AND(B55="LED Processor Huidu",Sheet2!L41="VP210"),"LED Processor Huidu VP210","0")</f>
        <v>0</v>
      </c>
      <c r="T41" s="312">
        <v>1800000</v>
      </c>
      <c r="U41" s="312"/>
      <c r="V41" s="312"/>
    </row>
    <row r="42" spans="1:24" ht="18.75" x14ac:dyDescent="0.3">
      <c r="A42">
        <v>2</v>
      </c>
      <c r="B42" s="167" t="str">
        <f>IF(AND(J14&gt;=2.3,J14&lt;=4.3),"V960","0")</f>
        <v>0</v>
      </c>
      <c r="C42" s="168"/>
      <c r="D42" s="169"/>
      <c r="E42" s="170">
        <v>7500000</v>
      </c>
      <c r="F42" s="170"/>
      <c r="G42" s="170"/>
      <c r="L42" s="167" t="str">
        <f>IF(AND(J14&gt;=2.3,J14&lt;=4.3),"VP410","0")</f>
        <v>0</v>
      </c>
      <c r="M42" s="168"/>
      <c r="N42" s="169"/>
      <c r="O42" s="170">
        <v>2900000</v>
      </c>
      <c r="P42" s="170"/>
      <c r="Q42" s="170"/>
      <c r="S42" s="37" t="str">
        <f>IF(AND(B55="LED Processor Huidu",Sheet2!L42="VP410"),"LED Processor Huidu VP410","0")</f>
        <v>0</v>
      </c>
      <c r="T42" s="312">
        <v>2900000</v>
      </c>
      <c r="U42" s="312"/>
      <c r="V42" s="312"/>
    </row>
    <row r="43" spans="1:24" ht="18.75" x14ac:dyDescent="0.3">
      <c r="A43">
        <v>3</v>
      </c>
      <c r="B43" s="167" t="str">
        <f>IF(AND(J14&gt;=2.3,J14&lt;=4.3),"VX400","0")</f>
        <v>0</v>
      </c>
      <c r="C43" s="168"/>
      <c r="D43" s="169"/>
      <c r="E43" s="170">
        <v>15000000</v>
      </c>
      <c r="F43" s="170"/>
      <c r="G43" s="170"/>
      <c r="L43" s="167" t="str">
        <f>IF(AND(J14&gt;=2.3,J14&lt;=4.3),"VP410C","0")</f>
        <v>0</v>
      </c>
      <c r="M43" s="168"/>
      <c r="N43" s="169"/>
      <c r="O43" s="170">
        <v>2250000</v>
      </c>
      <c r="P43" s="170"/>
      <c r="Q43" s="170"/>
      <c r="S43" s="37" t="str">
        <f>IF(AND(B55="LED Processor Huidu",Sheet2!L43="VP410C"),"LED Processor Huidu VP410C","0")</f>
        <v>0</v>
      </c>
      <c r="T43" s="312">
        <v>2250000</v>
      </c>
      <c r="U43" s="312"/>
      <c r="V43" s="312"/>
    </row>
    <row r="44" spans="1:24" ht="18.75" x14ac:dyDescent="0.3">
      <c r="A44">
        <v>4</v>
      </c>
      <c r="B44" s="167" t="str">
        <f>IF(AND(J14&gt;=4.3,J14&lt;=6.3),"V600","0")</f>
        <v>0</v>
      </c>
      <c r="C44" s="168"/>
      <c r="D44" s="169"/>
      <c r="E44" s="170">
        <v>18100000</v>
      </c>
      <c r="F44" s="170"/>
      <c r="G44" s="170"/>
      <c r="L44" s="167" t="str">
        <f>IF(AND(J14&gt;=4.3,J14&lt;=6.3),"VP620","0")</f>
        <v>0</v>
      </c>
      <c r="M44" s="168"/>
      <c r="N44" s="169"/>
      <c r="O44" s="170">
        <v>6500000</v>
      </c>
      <c r="P44" s="170"/>
      <c r="Q44" s="170"/>
      <c r="S44" s="37" t="str">
        <f>IF(AND(B55="LED Processor Huidu",Sheet2!L44="VP620"),"LED Processor Huidu VP620","0")</f>
        <v>0</v>
      </c>
      <c r="T44" s="312">
        <v>6500000</v>
      </c>
      <c r="U44" s="312"/>
      <c r="V44" s="312"/>
    </row>
    <row r="45" spans="1:24" ht="18.75" x14ac:dyDescent="0.3">
      <c r="A45">
        <v>5</v>
      </c>
      <c r="B45" s="167" t="str">
        <f>IF(AND(J14&gt;=6.3,J14&lt;=10.3),"VX1000","0")</f>
        <v>0</v>
      </c>
      <c r="C45" s="168"/>
      <c r="D45" s="169"/>
      <c r="E45" s="170">
        <v>25000000</v>
      </c>
      <c r="F45" s="170"/>
      <c r="G45" s="170"/>
      <c r="L45" s="167" t="str">
        <f>IF(AND(J14&gt;=6.3,J14&lt;=8.3),"VP820","0")</f>
        <v>0</v>
      </c>
      <c r="M45" s="168"/>
      <c r="N45" s="169"/>
      <c r="O45" s="170">
        <v>7400000</v>
      </c>
      <c r="P45" s="170"/>
      <c r="Q45" s="170"/>
      <c r="S45" s="37" t="str">
        <f>IF(AND(B55="LED Processor Huidu",Sheet2!L45="VP820"),"LED Processor Huidu VP820","0")</f>
        <v>0</v>
      </c>
      <c r="T45" s="312">
        <v>7400000</v>
      </c>
      <c r="U45" s="312"/>
      <c r="V45" s="312"/>
    </row>
    <row r="46" spans="1:24" ht="18.75" x14ac:dyDescent="0.3">
      <c r="A46">
        <v>6</v>
      </c>
      <c r="B46" s="167" t="str">
        <f>IF(AND(J14&gt;=10.3,J14&lt;=16.3),"VX16","0")</f>
        <v>0</v>
      </c>
      <c r="C46" s="168"/>
      <c r="D46" s="169"/>
      <c r="E46" s="170">
        <v>52000000</v>
      </c>
      <c r="F46" s="170"/>
      <c r="G46" s="170"/>
      <c r="L46" s="167" t="str">
        <f>IF(AND(J14&gt;=6.3,J14&lt;=8.3),"VP830","0")</f>
        <v>0</v>
      </c>
      <c r="M46" s="168"/>
      <c r="N46" s="169"/>
      <c r="O46" s="170">
        <v>9000000</v>
      </c>
      <c r="P46" s="170"/>
      <c r="Q46" s="170"/>
      <c r="S46" s="37" t="str">
        <f>IF(AND(B59="LED Processor Huidu",Sheet2!L46="VP830"),"LED Processor Huidu VP830","0")</f>
        <v>0</v>
      </c>
      <c r="T46" s="312">
        <v>9000000</v>
      </c>
      <c r="U46" s="312"/>
      <c r="V46" s="312"/>
    </row>
    <row r="47" spans="1:24" ht="18.75" x14ac:dyDescent="0.3">
      <c r="A47">
        <v>7</v>
      </c>
      <c r="B47" s="167"/>
      <c r="C47" s="168"/>
      <c r="D47" s="169"/>
      <c r="E47" s="170"/>
      <c r="F47" s="170"/>
      <c r="G47" s="170"/>
      <c r="L47" s="167" t="str">
        <f>IF(AND(J14&gt;=8.3,J14&lt;=12.3),"VP1240","0")</f>
        <v>0</v>
      </c>
      <c r="M47" s="168"/>
      <c r="N47" s="169"/>
      <c r="O47" s="170">
        <v>13000000</v>
      </c>
      <c r="P47" s="170"/>
      <c r="Q47" s="170"/>
      <c r="S47" s="37" t="str">
        <f>IF(AND(B55="LED Processor Huidu",Sheet2!L47="VP1240"),"LED Processor Huidu VP1240","0")</f>
        <v>0</v>
      </c>
      <c r="T47" s="312">
        <v>13000000</v>
      </c>
      <c r="U47" s="312"/>
      <c r="V47" s="312"/>
    </row>
    <row r="48" spans="1:24" ht="18.75" x14ac:dyDescent="0.3">
      <c r="A48">
        <v>8</v>
      </c>
      <c r="B48" s="167" t="str">
        <f>IF(J14&lt;=1.3,"TB20",)</f>
        <v>TB20</v>
      </c>
      <c r="C48" s="168"/>
      <c r="D48" s="169"/>
      <c r="E48" s="170">
        <v>3150000</v>
      </c>
      <c r="F48" s="170"/>
      <c r="G48" s="170"/>
      <c r="L48" s="167" t="str">
        <f>IF(AND(J14&gt;=12.3,J14&lt;=16.3),"VP1640","0")</f>
        <v>0</v>
      </c>
      <c r="M48" s="168"/>
      <c r="N48" s="169"/>
      <c r="O48" s="170">
        <v>19000000</v>
      </c>
      <c r="P48" s="170"/>
      <c r="Q48" s="170"/>
      <c r="S48" s="37" t="str">
        <f>IF(AND(B55="LED Processor Huidu",Sheet2!L48="VP1640"),"LED Processor Huidu VP1640","0")</f>
        <v>0</v>
      </c>
      <c r="T48" s="312">
        <v>19000000</v>
      </c>
      <c r="U48" s="312"/>
      <c r="V48" s="312"/>
      <c r="X48" t="s">
        <v>128</v>
      </c>
    </row>
    <row r="49" spans="1:22" ht="18.75" x14ac:dyDescent="0.3">
      <c r="A49">
        <v>9</v>
      </c>
      <c r="B49" s="167" t="str">
        <f>IF(AND(J14&gt;=1.3,J14&lt;=2.3),"TB50","0")</f>
        <v>0</v>
      </c>
      <c r="C49" s="168"/>
      <c r="D49" s="169"/>
      <c r="E49" s="170">
        <v>5900000</v>
      </c>
      <c r="F49" s="170"/>
      <c r="G49" s="170"/>
      <c r="L49" s="315" t="str">
        <f>IF(J14&lt;=2.3,"A4",)</f>
        <v>A4</v>
      </c>
      <c r="M49" s="316"/>
      <c r="N49" s="317"/>
      <c r="O49" s="312">
        <v>1800000</v>
      </c>
      <c r="P49" s="312"/>
      <c r="Q49" s="312"/>
      <c r="S49" s="37" t="str">
        <f>IF(AND(B55="Asynchronous Huidu",L49="A4"),"Asynchronous Huidu A4","0")</f>
        <v>Asynchronous Huidu A4</v>
      </c>
      <c r="T49" s="312">
        <v>1800000</v>
      </c>
      <c r="U49" s="312"/>
      <c r="V49" s="312"/>
    </row>
    <row r="50" spans="1:22" ht="18.75" x14ac:dyDescent="0.3">
      <c r="A50">
        <v>10</v>
      </c>
      <c r="B50" s="167" t="str">
        <f>IF(AND(J14&gt;=2.3,J14&lt;=4.3),"TB50","0")</f>
        <v>0</v>
      </c>
      <c r="C50" s="168"/>
      <c r="D50" s="169"/>
      <c r="E50" s="170">
        <v>7500000</v>
      </c>
      <c r="F50" s="170"/>
      <c r="G50" s="170"/>
      <c r="L50" s="167" t="str">
        <f>IF(AND(T14&gt;=2.3,T14&lt;=4.3),"TB50","0")</f>
        <v>0</v>
      </c>
      <c r="M50" s="168"/>
      <c r="N50" s="169"/>
      <c r="S50" s="38" t="str">
        <f>IF(AND(B55="LED Processor Novastar",B41="V760"),"LED Processor Novastar V760","0")</f>
        <v>0</v>
      </c>
      <c r="T50" s="311">
        <v>2900000</v>
      </c>
      <c r="U50" s="311"/>
      <c r="V50" s="311"/>
    </row>
    <row r="51" spans="1:22" ht="15.75" x14ac:dyDescent="0.25">
      <c r="S51" s="38" t="str">
        <f>IF(AND(B55="LED Processor Novastar",B42="V960"),"LED Processor Novastar V960","0")</f>
        <v>0</v>
      </c>
      <c r="T51" s="311">
        <v>7500000</v>
      </c>
      <c r="U51" s="311"/>
      <c r="V51" s="311"/>
    </row>
    <row r="52" spans="1:22" ht="15.75" x14ac:dyDescent="0.25">
      <c r="S52" s="38" t="str">
        <f>IF(AND(B55="LED Processor Novastar",B43="VX400"),"LED Processor Novastar VX400","0")</f>
        <v>0</v>
      </c>
      <c r="T52" s="311">
        <v>15000000</v>
      </c>
      <c r="U52" s="311"/>
      <c r="V52" s="311"/>
    </row>
    <row r="53" spans="1:22" ht="15.75" x14ac:dyDescent="0.25">
      <c r="S53" s="38" t="str">
        <f>IF(AND(B55="LED Processor Novastar",B44="V600"),"LED Processor Novastar VX600","0")</f>
        <v>0</v>
      </c>
      <c r="T53" s="311">
        <v>18100000</v>
      </c>
      <c r="U53" s="311"/>
      <c r="V53" s="311"/>
    </row>
    <row r="54" spans="1:22" ht="15.75" x14ac:dyDescent="0.25">
      <c r="H54" s="42"/>
      <c r="I54" s="42"/>
      <c r="J54" s="42"/>
      <c r="K54" s="42"/>
      <c r="L54" s="42"/>
      <c r="N54" t="s">
        <v>62</v>
      </c>
      <c r="S54" s="38" t="str">
        <f>IF(AND(B55="LED Processor Huidu",B45="VX1000"),"LED Processor Novastar VX1000","0")</f>
        <v>0</v>
      </c>
      <c r="T54" s="311">
        <v>25000000</v>
      </c>
      <c r="U54" s="311"/>
      <c r="V54" s="311"/>
    </row>
    <row r="55" spans="1:22" ht="15.75" x14ac:dyDescent="0.25">
      <c r="B55" s="309" t="str">
        <f>'THEMPLATE QUOT'!H10</f>
        <v>Asynchronous Huidu</v>
      </c>
      <c r="C55" s="309"/>
      <c r="D55" s="309"/>
      <c r="E55" s="309"/>
      <c r="H55" s="309" t="e">
        <f>'[1]RAB 4x6'!$G$11</f>
        <v>#REF!</v>
      </c>
      <c r="I55" s="309"/>
      <c r="J55" s="309"/>
      <c r="K55" s="309"/>
      <c r="L55" s="309"/>
      <c r="S55" s="38" t="str">
        <f>IF(AND(B55="LED Processor Novastar",B47="VX16"),"LED Processor Novastar VX16","0")</f>
        <v>0</v>
      </c>
      <c r="T55" s="311">
        <v>52000000</v>
      </c>
      <c r="U55" s="311"/>
      <c r="V55" s="311"/>
    </row>
    <row r="56" spans="1:22" ht="15.75" x14ac:dyDescent="0.25">
      <c r="B56" s="309"/>
      <c r="C56" s="309"/>
      <c r="D56" s="309"/>
      <c r="E56" s="309"/>
      <c r="H56" s="309"/>
      <c r="I56" s="309"/>
      <c r="J56" s="309"/>
      <c r="K56" s="309"/>
      <c r="L56" s="309"/>
      <c r="S56" s="38" t="str">
        <f>IF(AND(B55="Asynchronous Novastar",B48="TB20"),"Asynchronous Novastar TB20","0")</f>
        <v>0</v>
      </c>
      <c r="T56" s="311">
        <v>3150000</v>
      </c>
      <c r="U56" s="311"/>
      <c r="V56" s="311"/>
    </row>
    <row r="57" spans="1:22" ht="15.75" x14ac:dyDescent="0.25">
      <c r="C57" s="41">
        <f>'format quot'!$AF$30</f>
        <v>0.76381679389312973</v>
      </c>
      <c r="E57" t="s">
        <v>181</v>
      </c>
      <c r="S57" s="38" t="str">
        <f>IF(AND(B55="Asynchronous Novastar",B49="TB50"),"Asynchronous Novastar TB50","0")</f>
        <v>0</v>
      </c>
      <c r="T57" s="311">
        <v>5900000</v>
      </c>
      <c r="U57" s="311"/>
      <c r="V57" s="311"/>
    </row>
    <row r="58" spans="1:22" ht="15.75" x14ac:dyDescent="0.25">
      <c r="S58" s="38" t="str">
        <f>IF(AND(B55="Asynchronous Novastar",B50="TB60"),"Asynchronous Novastar TB60","0")</f>
        <v>0</v>
      </c>
      <c r="T58" s="311">
        <v>7500000</v>
      </c>
      <c r="U58" s="311"/>
      <c r="V58" s="311"/>
    </row>
    <row r="59" spans="1:22" x14ac:dyDescent="0.25">
      <c r="B59" s="314"/>
      <c r="C59" s="314"/>
      <c r="D59" s="314"/>
      <c r="E59" s="314"/>
      <c r="T59" s="313"/>
      <c r="U59" s="313"/>
      <c r="V59" s="17"/>
    </row>
    <row r="60" spans="1:22" x14ac:dyDescent="0.25">
      <c r="B60" s="314"/>
      <c r="C60" s="314"/>
      <c r="D60" s="314"/>
      <c r="E60" s="314"/>
    </row>
    <row r="64" spans="1:22" x14ac:dyDescent="0.25">
      <c r="V64" s="20"/>
    </row>
  </sheetData>
  <customSheetViews>
    <customSheetView guid="{D7858EE5-5A2B-4DA3-AFDF-B47720F98719}" scale="120" topLeftCell="A13">
      <selection activeCell="N26" sqref="N26:T26"/>
      <pageMargins left="0.7" right="0.7" top="0.75" bottom="0.75" header="0.3" footer="0.3"/>
    </customSheetView>
  </customSheetViews>
  <mergeCells count="165">
    <mergeCell ref="B25:D25"/>
    <mergeCell ref="F25:H25"/>
    <mergeCell ref="I25:K25"/>
    <mergeCell ref="N25:P25"/>
    <mergeCell ref="R25:T25"/>
    <mergeCell ref="U25:W25"/>
    <mergeCell ref="B27:D27"/>
    <mergeCell ref="F27:H27"/>
    <mergeCell ref="I27:K27"/>
    <mergeCell ref="N27:P27"/>
    <mergeCell ref="R27:T27"/>
    <mergeCell ref="U27:W27"/>
    <mergeCell ref="B26:D26"/>
    <mergeCell ref="F26:H26"/>
    <mergeCell ref="I26:K26"/>
    <mergeCell ref="N26:P26"/>
    <mergeCell ref="R26:T26"/>
    <mergeCell ref="U26:W26"/>
    <mergeCell ref="B29:D29"/>
    <mergeCell ref="F29:H29"/>
    <mergeCell ref="I29:K29"/>
    <mergeCell ref="N29:P29"/>
    <mergeCell ref="R29:T29"/>
    <mergeCell ref="U29:W29"/>
    <mergeCell ref="B28:D28"/>
    <mergeCell ref="F28:H28"/>
    <mergeCell ref="I28:K28"/>
    <mergeCell ref="N28:P28"/>
    <mergeCell ref="R28:T28"/>
    <mergeCell ref="U28:W28"/>
    <mergeCell ref="N31:P31"/>
    <mergeCell ref="R31:T31"/>
    <mergeCell ref="U31:W31"/>
    <mergeCell ref="B30:D30"/>
    <mergeCell ref="F30:H30"/>
    <mergeCell ref="I30:K30"/>
    <mergeCell ref="N30:P30"/>
    <mergeCell ref="R30:T30"/>
    <mergeCell ref="U30:W30"/>
    <mergeCell ref="R34:T34"/>
    <mergeCell ref="U34:W34"/>
    <mergeCell ref="B33:D33"/>
    <mergeCell ref="F33:H33"/>
    <mergeCell ref="I33:K33"/>
    <mergeCell ref="N33:P33"/>
    <mergeCell ref="R33:T33"/>
    <mergeCell ref="U33:W33"/>
    <mergeCell ref="B32:D32"/>
    <mergeCell ref="F32:H32"/>
    <mergeCell ref="I32:K32"/>
    <mergeCell ref="N32:P32"/>
    <mergeCell ref="R32:T32"/>
    <mergeCell ref="U32:W32"/>
    <mergeCell ref="R37:T37"/>
    <mergeCell ref="U37:W37"/>
    <mergeCell ref="B36:D36"/>
    <mergeCell ref="F36:H36"/>
    <mergeCell ref="I36:K36"/>
    <mergeCell ref="N36:P36"/>
    <mergeCell ref="R36:T36"/>
    <mergeCell ref="U36:W36"/>
    <mergeCell ref="B35:D35"/>
    <mergeCell ref="F35:H35"/>
    <mergeCell ref="I35:K35"/>
    <mergeCell ref="N35:P35"/>
    <mergeCell ref="R35:T35"/>
    <mergeCell ref="U35:W35"/>
    <mergeCell ref="J13:M13"/>
    <mergeCell ref="D14:E14"/>
    <mergeCell ref="D15:E15"/>
    <mergeCell ref="D16:E16"/>
    <mergeCell ref="D17:E17"/>
    <mergeCell ref="D18:E18"/>
    <mergeCell ref="F17:I17"/>
    <mergeCell ref="F18:I18"/>
    <mergeCell ref="F19:I19"/>
    <mergeCell ref="J14:M19"/>
    <mergeCell ref="F14:I14"/>
    <mergeCell ref="F15:I15"/>
    <mergeCell ref="F16:I16"/>
    <mergeCell ref="B50:D50"/>
    <mergeCell ref="L41:N41"/>
    <mergeCell ref="L42:N42"/>
    <mergeCell ref="L43:N43"/>
    <mergeCell ref="L44:N44"/>
    <mergeCell ref="L45:N45"/>
    <mergeCell ref="D19:E19"/>
    <mergeCell ref="B41:D41"/>
    <mergeCell ref="B42:D42"/>
    <mergeCell ref="B43:D43"/>
    <mergeCell ref="B44:D44"/>
    <mergeCell ref="B45:D45"/>
    <mergeCell ref="E45:G45"/>
    <mergeCell ref="B37:D37"/>
    <mergeCell ref="F37:H37"/>
    <mergeCell ref="I37:K37"/>
    <mergeCell ref="N37:P37"/>
    <mergeCell ref="B34:D34"/>
    <mergeCell ref="F34:H34"/>
    <mergeCell ref="I34:K34"/>
    <mergeCell ref="N34:P34"/>
    <mergeCell ref="B31:D31"/>
    <mergeCell ref="F31:H31"/>
    <mergeCell ref="I31:K31"/>
    <mergeCell ref="O42:Q42"/>
    <mergeCell ref="O43:Q43"/>
    <mergeCell ref="O44:Q44"/>
    <mergeCell ref="O45:Q45"/>
    <mergeCell ref="L46:N46"/>
    <mergeCell ref="L47:N47"/>
    <mergeCell ref="L48:N48"/>
    <mergeCell ref="L49:N49"/>
    <mergeCell ref="B40:D40"/>
    <mergeCell ref="L40:N40"/>
    <mergeCell ref="E41:G41"/>
    <mergeCell ref="E42:G42"/>
    <mergeCell ref="E43:G43"/>
    <mergeCell ref="E44:G44"/>
    <mergeCell ref="B46:D46"/>
    <mergeCell ref="B47:D47"/>
    <mergeCell ref="B48:D48"/>
    <mergeCell ref="B49:D49"/>
    <mergeCell ref="T59:U59"/>
    <mergeCell ref="T41:V41"/>
    <mergeCell ref="T42:V42"/>
    <mergeCell ref="T43:V43"/>
    <mergeCell ref="T44:V44"/>
    <mergeCell ref="T45:V45"/>
    <mergeCell ref="T46:V46"/>
    <mergeCell ref="B55:E56"/>
    <mergeCell ref="B59:E60"/>
    <mergeCell ref="H55:L56"/>
    <mergeCell ref="T55:V55"/>
    <mergeCell ref="T47:V47"/>
    <mergeCell ref="T48:V48"/>
    <mergeCell ref="O46:Q46"/>
    <mergeCell ref="O47:Q47"/>
    <mergeCell ref="O48:Q48"/>
    <mergeCell ref="O49:Q49"/>
    <mergeCell ref="L50:N50"/>
    <mergeCell ref="E46:G46"/>
    <mergeCell ref="E47:G47"/>
    <mergeCell ref="E48:G48"/>
    <mergeCell ref="E49:G49"/>
    <mergeCell ref="E50:G50"/>
    <mergeCell ref="O41:Q41"/>
    <mergeCell ref="T56:V56"/>
    <mergeCell ref="T57:V57"/>
    <mergeCell ref="T58:V58"/>
    <mergeCell ref="T50:V50"/>
    <mergeCell ref="T51:V51"/>
    <mergeCell ref="T52:V52"/>
    <mergeCell ref="T53:V53"/>
    <mergeCell ref="T54:V54"/>
    <mergeCell ref="T49:V49"/>
    <mergeCell ref="D12:F12"/>
    <mergeCell ref="A9:B9"/>
    <mergeCell ref="D4:F4"/>
    <mergeCell ref="D5:F5"/>
    <mergeCell ref="D6:F6"/>
    <mergeCell ref="D7:F7"/>
    <mergeCell ref="D8:F8"/>
    <mergeCell ref="D9:F9"/>
    <mergeCell ref="D10:F10"/>
    <mergeCell ref="D11:F1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N76"/>
  <sheetViews>
    <sheetView topLeftCell="A10" workbookViewId="0">
      <selection activeCell="I21" sqref="I21"/>
    </sheetView>
  </sheetViews>
  <sheetFormatPr defaultRowHeight="15" x14ac:dyDescent="0.25"/>
  <cols>
    <col min="9" max="9" width="20" customWidth="1"/>
    <col min="10" max="10" width="18.85546875" customWidth="1"/>
    <col min="13" max="13" width="22.140625" customWidth="1"/>
    <col min="14" max="14" width="30.28515625" customWidth="1"/>
    <col min="28" max="28" width="14.5703125" customWidth="1"/>
    <col min="29" max="29" width="19.85546875" bestFit="1" customWidth="1"/>
    <col min="30" max="30" width="18.5703125" bestFit="1" customWidth="1"/>
    <col min="31" max="31" width="16.42578125" bestFit="1" customWidth="1"/>
  </cols>
  <sheetData>
    <row r="3" spans="1:10" x14ac:dyDescent="0.25">
      <c r="B3" s="50" t="s">
        <v>139</v>
      </c>
      <c r="C3" s="50"/>
      <c r="D3" s="50" t="s">
        <v>139</v>
      </c>
    </row>
    <row r="4" spans="1:10" ht="15" customHeight="1" x14ac:dyDescent="0.25">
      <c r="A4">
        <v>1</v>
      </c>
      <c r="B4" s="50">
        <f>0.32*A4</f>
        <v>0.32</v>
      </c>
      <c r="C4" s="50"/>
      <c r="D4" s="50">
        <f>0.16*A4</f>
        <v>0.16</v>
      </c>
    </row>
    <row r="5" spans="1:10" ht="15" customHeight="1" x14ac:dyDescent="0.25">
      <c r="A5">
        <v>2</v>
      </c>
      <c r="B5" s="50">
        <f t="shared" ref="B5:B53" si="0">0.32*A5</f>
        <v>0.64</v>
      </c>
      <c r="C5" s="50"/>
      <c r="D5" s="50">
        <f t="shared" ref="D5:D53" si="1">0.16*A5</f>
        <v>0.32</v>
      </c>
    </row>
    <row r="6" spans="1:10" ht="15" customHeight="1" x14ac:dyDescent="0.25">
      <c r="A6">
        <v>3</v>
      </c>
      <c r="B6" s="50">
        <f t="shared" si="0"/>
        <v>0.96</v>
      </c>
      <c r="C6" s="50"/>
      <c r="D6" s="50">
        <f t="shared" si="1"/>
        <v>0.48</v>
      </c>
    </row>
    <row r="7" spans="1:10" ht="15" customHeight="1" x14ac:dyDescent="0.25">
      <c r="A7">
        <v>4</v>
      </c>
      <c r="B7" s="50">
        <f t="shared" si="0"/>
        <v>1.28</v>
      </c>
      <c r="C7" s="50"/>
      <c r="D7" s="50">
        <f t="shared" si="1"/>
        <v>0.64</v>
      </c>
    </row>
    <row r="8" spans="1:10" ht="15" customHeight="1" x14ac:dyDescent="0.25">
      <c r="A8">
        <v>5</v>
      </c>
      <c r="B8" s="50">
        <f t="shared" si="0"/>
        <v>1.6</v>
      </c>
      <c r="C8" s="50"/>
      <c r="D8" s="50">
        <f t="shared" si="1"/>
        <v>0.8</v>
      </c>
    </row>
    <row r="9" spans="1:10" x14ac:dyDescent="0.25">
      <c r="A9">
        <v>6</v>
      </c>
      <c r="B9" s="50">
        <f t="shared" si="0"/>
        <v>1.92</v>
      </c>
      <c r="C9" s="50"/>
      <c r="D9" s="50">
        <f t="shared" si="1"/>
        <v>0.96</v>
      </c>
      <c r="I9" t="s">
        <v>69</v>
      </c>
      <c r="J9" t="s">
        <v>68</v>
      </c>
    </row>
    <row r="10" spans="1:10" x14ac:dyDescent="0.25">
      <c r="A10">
        <v>7</v>
      </c>
      <c r="B10" s="50">
        <f t="shared" si="0"/>
        <v>2.2400000000000002</v>
      </c>
      <c r="C10" s="50"/>
      <c r="D10" s="50">
        <f t="shared" si="1"/>
        <v>1.1200000000000001</v>
      </c>
      <c r="I10" t="s">
        <v>70</v>
      </c>
      <c r="J10" t="s">
        <v>140</v>
      </c>
    </row>
    <row r="11" spans="1:10" ht="15" customHeight="1" x14ac:dyDescent="0.25">
      <c r="A11">
        <v>8</v>
      </c>
      <c r="B11" s="50">
        <f t="shared" si="0"/>
        <v>2.56</v>
      </c>
      <c r="C11" s="50"/>
      <c r="D11" s="50">
        <f t="shared" si="1"/>
        <v>1.28</v>
      </c>
      <c r="I11" t="s">
        <v>71</v>
      </c>
    </row>
    <row r="12" spans="1:10" ht="23.25" customHeight="1" x14ac:dyDescent="0.25">
      <c r="A12">
        <v>9</v>
      </c>
      <c r="B12" s="50">
        <f t="shared" si="0"/>
        <v>2.88</v>
      </c>
      <c r="C12" s="50"/>
      <c r="D12" s="50">
        <f t="shared" si="1"/>
        <v>1.44</v>
      </c>
      <c r="I12" t="s">
        <v>72</v>
      </c>
    </row>
    <row r="13" spans="1:10" ht="23.25" customHeight="1" x14ac:dyDescent="0.25">
      <c r="A13">
        <v>10</v>
      </c>
      <c r="B13" s="50">
        <f t="shared" si="0"/>
        <v>3.2</v>
      </c>
      <c r="C13" s="50"/>
      <c r="D13" s="50">
        <f t="shared" si="1"/>
        <v>1.6</v>
      </c>
      <c r="I13" t="s">
        <v>73</v>
      </c>
    </row>
    <row r="14" spans="1:10" ht="23.25" customHeight="1" x14ac:dyDescent="0.25">
      <c r="A14">
        <v>11</v>
      </c>
      <c r="B14" s="50">
        <f t="shared" si="0"/>
        <v>3.52</v>
      </c>
      <c r="C14" s="50"/>
      <c r="D14" s="50">
        <f t="shared" si="1"/>
        <v>1.76</v>
      </c>
      <c r="I14" t="s">
        <v>141</v>
      </c>
    </row>
    <row r="15" spans="1:10" ht="23.25" customHeight="1" x14ac:dyDescent="0.25">
      <c r="A15">
        <v>12</v>
      </c>
      <c r="B15" s="50">
        <f t="shared" si="0"/>
        <v>3.84</v>
      </c>
      <c r="C15" s="50"/>
      <c r="D15" s="50">
        <f t="shared" si="1"/>
        <v>1.92</v>
      </c>
    </row>
    <row r="16" spans="1:10" ht="23.25" customHeight="1" x14ac:dyDescent="0.25">
      <c r="A16">
        <v>13</v>
      </c>
      <c r="B16" s="50">
        <f t="shared" si="0"/>
        <v>4.16</v>
      </c>
      <c r="C16" s="50"/>
      <c r="D16" s="50">
        <f t="shared" si="1"/>
        <v>2.08</v>
      </c>
    </row>
    <row r="17" spans="1:14" x14ac:dyDescent="0.25">
      <c r="A17">
        <v>14</v>
      </c>
      <c r="B17" s="50">
        <f t="shared" si="0"/>
        <v>4.4800000000000004</v>
      </c>
      <c r="C17" s="50"/>
      <c r="D17" s="50">
        <f t="shared" si="1"/>
        <v>2.2400000000000002</v>
      </c>
      <c r="H17" t="s">
        <v>197</v>
      </c>
      <c r="I17" t="s">
        <v>259</v>
      </c>
    </row>
    <row r="18" spans="1:14" ht="15" customHeight="1" x14ac:dyDescent="0.25">
      <c r="A18">
        <v>15</v>
      </c>
      <c r="B18" s="50">
        <f t="shared" si="0"/>
        <v>4.8</v>
      </c>
      <c r="C18" s="50"/>
      <c r="D18" s="50">
        <f t="shared" si="1"/>
        <v>2.4</v>
      </c>
      <c r="H18" t="s">
        <v>196</v>
      </c>
      <c r="I18" t="s">
        <v>260</v>
      </c>
    </row>
    <row r="19" spans="1:14" ht="15" customHeight="1" x14ac:dyDescent="0.25">
      <c r="A19">
        <v>16</v>
      </c>
      <c r="B19" s="50">
        <f t="shared" si="0"/>
        <v>5.12</v>
      </c>
      <c r="C19" s="50"/>
      <c r="D19" s="50">
        <f t="shared" si="1"/>
        <v>2.56</v>
      </c>
      <c r="H19" t="s">
        <v>198</v>
      </c>
      <c r="I19" t="s">
        <v>261</v>
      </c>
    </row>
    <row r="20" spans="1:14" ht="15" customHeight="1" x14ac:dyDescent="0.25">
      <c r="A20">
        <v>17</v>
      </c>
      <c r="B20" s="50">
        <f t="shared" si="0"/>
        <v>5.44</v>
      </c>
      <c r="C20" s="50"/>
      <c r="D20" s="50">
        <f t="shared" si="1"/>
        <v>2.72</v>
      </c>
      <c r="H20" t="s">
        <v>199</v>
      </c>
      <c r="I20" t="s">
        <v>262</v>
      </c>
    </row>
    <row r="21" spans="1:14" ht="23.25" customHeight="1" x14ac:dyDescent="0.25">
      <c r="A21">
        <v>18</v>
      </c>
      <c r="B21" s="50">
        <f t="shared" si="0"/>
        <v>5.76</v>
      </c>
      <c r="C21" s="50"/>
      <c r="D21" s="50">
        <f t="shared" si="1"/>
        <v>2.88</v>
      </c>
      <c r="H21" t="s">
        <v>200</v>
      </c>
      <c r="M21" s="62">
        <f ca="1">NOW()</f>
        <v>45610.366606018521</v>
      </c>
      <c r="N21" t="str">
        <f ca="1">IF(MONTH(M21)=1,"January",IF(MONTH(M21)=2,"February",IF(MONTH(M21)=3,"March",IF(MONTH(M21)=4,"April",IF(MONTH(M21)=5,"May",IF(MONTH(M21)=6,"June",
IF(MONTH(M21)=1,"July",IF(MONTH(M21)=8,"August",IF(MONTH(M21)=9,"September",IF(MONTH(M21)=10,"October",IF(MONTH(M21)=11,"November","December")))))))))))</f>
        <v>November</v>
      </c>
    </row>
    <row r="22" spans="1:14" ht="23.25" customHeight="1" x14ac:dyDescent="0.25">
      <c r="A22">
        <v>19</v>
      </c>
      <c r="B22" s="50">
        <f t="shared" si="0"/>
        <v>6.08</v>
      </c>
      <c r="C22" s="50"/>
      <c r="D22" s="50">
        <f t="shared" si="1"/>
        <v>3.04</v>
      </c>
      <c r="H22" t="s">
        <v>201</v>
      </c>
      <c r="M22" s="62">
        <v>45324</v>
      </c>
      <c r="N22" t="str">
        <f t="shared" ref="N22:N32" si="2">IF(MONTH(M22)=1,"January",IF(MONTH(M22)=2,"February",IF(MONTH(M22)=3,"March",IF(MONTH(M22)=4,"April",IF(MONTH(M22)=5,"May",IF(MONTH(M22)=6,"June",
IF(MONTH(M22)=1,"July",IF(MONTH(M22)=8,"August",IF(MONTH(M22)=9,"September",IF(MONTH(M22)=10,"October",IF(MONTH(M22)=11,"November","December")))))))))))</f>
        <v>February</v>
      </c>
    </row>
    <row r="23" spans="1:14" ht="23.25" customHeight="1" x14ac:dyDescent="0.25">
      <c r="A23">
        <v>20</v>
      </c>
      <c r="B23" s="50">
        <f t="shared" si="0"/>
        <v>6.4</v>
      </c>
      <c r="C23" s="50"/>
      <c r="D23" s="50">
        <f t="shared" si="1"/>
        <v>3.2</v>
      </c>
      <c r="H23" t="s">
        <v>202</v>
      </c>
      <c r="M23" s="62">
        <v>45356</v>
      </c>
      <c r="N23" t="str">
        <f t="shared" si="2"/>
        <v>March</v>
      </c>
    </row>
    <row r="24" spans="1:14" ht="23.25" customHeight="1" x14ac:dyDescent="0.25">
      <c r="A24">
        <v>21</v>
      </c>
      <c r="B24" s="50">
        <f t="shared" si="0"/>
        <v>6.72</v>
      </c>
      <c r="C24" s="50"/>
      <c r="D24" s="50">
        <f t="shared" si="1"/>
        <v>3.36</v>
      </c>
      <c r="H24" t="s">
        <v>203</v>
      </c>
      <c r="M24" s="62">
        <v>45388</v>
      </c>
      <c r="N24" t="str">
        <f t="shared" si="2"/>
        <v>April</v>
      </c>
    </row>
    <row r="25" spans="1:14" ht="23.25" customHeight="1" x14ac:dyDescent="0.25">
      <c r="A25">
        <v>22</v>
      </c>
      <c r="B25" s="50">
        <f t="shared" si="0"/>
        <v>7.04</v>
      </c>
      <c r="C25" s="50"/>
      <c r="D25" s="50">
        <f t="shared" si="1"/>
        <v>3.52</v>
      </c>
      <c r="H25" t="s">
        <v>204</v>
      </c>
      <c r="M25" s="62">
        <v>45420</v>
      </c>
      <c r="N25" t="str">
        <f t="shared" si="2"/>
        <v>May</v>
      </c>
    </row>
    <row r="26" spans="1:14" ht="15" customHeight="1" x14ac:dyDescent="0.25">
      <c r="A26">
        <v>23</v>
      </c>
      <c r="B26" s="50">
        <f t="shared" si="0"/>
        <v>7.36</v>
      </c>
      <c r="C26" s="50"/>
      <c r="D26" s="50">
        <f t="shared" si="1"/>
        <v>3.68</v>
      </c>
      <c r="H26" t="s">
        <v>205</v>
      </c>
      <c r="M26" s="62">
        <v>45452</v>
      </c>
      <c r="N26" t="str">
        <f t="shared" si="2"/>
        <v>June</v>
      </c>
    </row>
    <row r="27" spans="1:14" ht="15" customHeight="1" x14ac:dyDescent="0.25">
      <c r="A27">
        <v>24</v>
      </c>
      <c r="B27" s="50">
        <f t="shared" si="0"/>
        <v>7.68</v>
      </c>
      <c r="C27" s="50"/>
      <c r="D27" s="50">
        <f t="shared" si="1"/>
        <v>3.84</v>
      </c>
      <c r="H27" t="s">
        <v>206</v>
      </c>
      <c r="M27" s="62">
        <v>45484</v>
      </c>
      <c r="N27" t="str">
        <f t="shared" si="2"/>
        <v>December</v>
      </c>
    </row>
    <row r="28" spans="1:14" ht="15" customHeight="1" x14ac:dyDescent="0.25">
      <c r="A28">
        <v>25</v>
      </c>
      <c r="B28" s="50">
        <f t="shared" si="0"/>
        <v>8</v>
      </c>
      <c r="C28" s="50"/>
      <c r="D28" s="50">
        <f t="shared" si="1"/>
        <v>4</v>
      </c>
      <c r="H28" t="s">
        <v>207</v>
      </c>
      <c r="M28" s="62">
        <v>45516</v>
      </c>
      <c r="N28" t="str">
        <f t="shared" si="2"/>
        <v>August</v>
      </c>
    </row>
    <row r="29" spans="1:14" ht="15" customHeight="1" x14ac:dyDescent="0.25">
      <c r="A29">
        <v>26</v>
      </c>
      <c r="B29" s="50">
        <f t="shared" si="0"/>
        <v>8.32</v>
      </c>
      <c r="C29" s="50"/>
      <c r="D29" s="50">
        <f t="shared" si="1"/>
        <v>4.16</v>
      </c>
      <c r="H29" t="s">
        <v>208</v>
      </c>
      <c r="M29" s="62">
        <v>45548</v>
      </c>
      <c r="N29" t="str">
        <f t="shared" si="2"/>
        <v>September</v>
      </c>
    </row>
    <row r="30" spans="1:14" ht="23.25" customHeight="1" x14ac:dyDescent="0.25">
      <c r="A30">
        <v>27</v>
      </c>
      <c r="B30" s="50">
        <f t="shared" si="0"/>
        <v>8.64</v>
      </c>
      <c r="C30" s="50"/>
      <c r="D30" s="50">
        <f t="shared" si="1"/>
        <v>4.32</v>
      </c>
      <c r="H30" t="s">
        <v>209</v>
      </c>
      <c r="M30" s="62">
        <v>45580</v>
      </c>
      <c r="N30" t="str">
        <f t="shared" si="2"/>
        <v>October</v>
      </c>
    </row>
    <row r="31" spans="1:14" ht="23.25" customHeight="1" x14ac:dyDescent="0.25">
      <c r="A31">
        <v>28</v>
      </c>
      <c r="B31" s="50">
        <f t="shared" si="0"/>
        <v>8.9600000000000009</v>
      </c>
      <c r="C31" s="50"/>
      <c r="D31" s="50">
        <f t="shared" si="1"/>
        <v>4.4800000000000004</v>
      </c>
      <c r="H31" t="s">
        <v>210</v>
      </c>
      <c r="M31" s="62">
        <v>45612</v>
      </c>
      <c r="N31" t="str">
        <f t="shared" si="2"/>
        <v>November</v>
      </c>
    </row>
    <row r="32" spans="1:14" ht="23.25" customHeight="1" x14ac:dyDescent="0.25">
      <c r="A32">
        <v>29</v>
      </c>
      <c r="B32" s="50">
        <f t="shared" si="0"/>
        <v>9.2799999999999994</v>
      </c>
      <c r="C32" s="50"/>
      <c r="D32" s="50">
        <f t="shared" si="1"/>
        <v>4.6399999999999997</v>
      </c>
      <c r="H32" t="s">
        <v>211</v>
      </c>
      <c r="M32" s="62">
        <v>45644</v>
      </c>
      <c r="N32" t="str">
        <f t="shared" si="2"/>
        <v>December</v>
      </c>
    </row>
    <row r="33" spans="1:8" ht="23.25" customHeight="1" x14ac:dyDescent="0.25">
      <c r="A33">
        <v>30</v>
      </c>
      <c r="B33" s="50">
        <f t="shared" si="0"/>
        <v>9.6</v>
      </c>
      <c r="C33" s="50"/>
      <c r="D33" s="50">
        <f t="shared" si="1"/>
        <v>4.8</v>
      </c>
      <c r="H33" t="s">
        <v>212</v>
      </c>
    </row>
    <row r="34" spans="1:8" ht="23.25" customHeight="1" x14ac:dyDescent="0.25">
      <c r="A34">
        <v>31</v>
      </c>
      <c r="B34" s="50">
        <f t="shared" si="0"/>
        <v>9.92</v>
      </c>
      <c r="C34" s="50"/>
      <c r="D34" s="50">
        <f t="shared" si="1"/>
        <v>4.96</v>
      </c>
      <c r="H34" t="s">
        <v>213</v>
      </c>
    </row>
    <row r="35" spans="1:8" x14ac:dyDescent="0.25">
      <c r="A35">
        <v>32</v>
      </c>
      <c r="B35" s="50">
        <f t="shared" si="0"/>
        <v>10.24</v>
      </c>
      <c r="C35" s="50"/>
      <c r="D35" s="50">
        <f t="shared" si="1"/>
        <v>5.12</v>
      </c>
      <c r="H35" t="s">
        <v>214</v>
      </c>
    </row>
    <row r="36" spans="1:8" x14ac:dyDescent="0.25">
      <c r="A36">
        <v>33</v>
      </c>
      <c r="B36" s="50">
        <f t="shared" si="0"/>
        <v>10.56</v>
      </c>
      <c r="C36" s="50"/>
      <c r="D36" s="50">
        <f t="shared" si="1"/>
        <v>5.28</v>
      </c>
      <c r="H36" t="s">
        <v>215</v>
      </c>
    </row>
    <row r="37" spans="1:8" x14ac:dyDescent="0.25">
      <c r="A37">
        <v>34</v>
      </c>
      <c r="B37" s="50">
        <f t="shared" si="0"/>
        <v>10.88</v>
      </c>
      <c r="C37" s="50"/>
      <c r="D37" s="50">
        <f t="shared" si="1"/>
        <v>5.44</v>
      </c>
      <c r="H37" t="s">
        <v>216</v>
      </c>
    </row>
    <row r="38" spans="1:8" ht="23.25" customHeight="1" x14ac:dyDescent="0.25">
      <c r="A38">
        <v>35</v>
      </c>
      <c r="B38" s="50">
        <f t="shared" si="0"/>
        <v>11.200000000000001</v>
      </c>
      <c r="C38" s="50"/>
      <c r="D38" s="50">
        <f t="shared" si="1"/>
        <v>5.6000000000000005</v>
      </c>
      <c r="H38" t="s">
        <v>217</v>
      </c>
    </row>
    <row r="39" spans="1:8" ht="23.25" customHeight="1" x14ac:dyDescent="0.25">
      <c r="A39">
        <v>36</v>
      </c>
      <c r="B39" s="50">
        <f t="shared" si="0"/>
        <v>11.52</v>
      </c>
      <c r="C39" s="50"/>
      <c r="D39" s="50">
        <f t="shared" si="1"/>
        <v>5.76</v>
      </c>
      <c r="H39" t="s">
        <v>218</v>
      </c>
    </row>
    <row r="40" spans="1:8" ht="23.25" customHeight="1" x14ac:dyDescent="0.25">
      <c r="A40">
        <v>37</v>
      </c>
      <c r="B40" s="50">
        <f t="shared" si="0"/>
        <v>11.84</v>
      </c>
      <c r="C40" s="50"/>
      <c r="D40" s="50">
        <f t="shared" si="1"/>
        <v>5.92</v>
      </c>
      <c r="H40" t="s">
        <v>219</v>
      </c>
    </row>
    <row r="41" spans="1:8" ht="23.25" customHeight="1" x14ac:dyDescent="0.25">
      <c r="A41">
        <v>38</v>
      </c>
      <c r="B41" s="50">
        <f t="shared" si="0"/>
        <v>12.16</v>
      </c>
      <c r="C41" s="50"/>
      <c r="D41" s="50">
        <f t="shared" si="1"/>
        <v>6.08</v>
      </c>
      <c r="H41" t="s">
        <v>220</v>
      </c>
    </row>
    <row r="42" spans="1:8" ht="23.25" customHeight="1" x14ac:dyDescent="0.25">
      <c r="A42">
        <v>39</v>
      </c>
      <c r="B42" s="50">
        <f t="shared" si="0"/>
        <v>12.48</v>
      </c>
      <c r="C42" s="50"/>
      <c r="D42" s="50">
        <f t="shared" si="1"/>
        <v>6.24</v>
      </c>
      <c r="H42" t="s">
        <v>221</v>
      </c>
    </row>
    <row r="43" spans="1:8" x14ac:dyDescent="0.25">
      <c r="A43">
        <v>40</v>
      </c>
      <c r="B43" s="50">
        <f t="shared" si="0"/>
        <v>12.8</v>
      </c>
      <c r="C43" s="50"/>
      <c r="D43" s="50">
        <f t="shared" si="1"/>
        <v>6.4</v>
      </c>
      <c r="H43" t="s">
        <v>222</v>
      </c>
    </row>
    <row r="44" spans="1:8" x14ac:dyDescent="0.25">
      <c r="A44">
        <v>41</v>
      </c>
      <c r="B44" s="50">
        <f t="shared" si="0"/>
        <v>13.120000000000001</v>
      </c>
      <c r="C44" s="50"/>
      <c r="D44" s="50">
        <f t="shared" si="1"/>
        <v>6.5600000000000005</v>
      </c>
      <c r="H44" t="s">
        <v>223</v>
      </c>
    </row>
    <row r="45" spans="1:8" x14ac:dyDescent="0.25">
      <c r="A45">
        <v>42</v>
      </c>
      <c r="B45" s="50">
        <f t="shared" si="0"/>
        <v>13.44</v>
      </c>
      <c r="C45" s="50"/>
      <c r="D45" s="50">
        <f t="shared" si="1"/>
        <v>6.72</v>
      </c>
      <c r="H45" t="s">
        <v>224</v>
      </c>
    </row>
    <row r="46" spans="1:8" ht="23.25" customHeight="1" x14ac:dyDescent="0.25">
      <c r="A46">
        <v>43</v>
      </c>
      <c r="B46" s="50">
        <f t="shared" si="0"/>
        <v>13.76</v>
      </c>
      <c r="C46" s="50"/>
      <c r="D46" s="50">
        <f t="shared" si="1"/>
        <v>6.88</v>
      </c>
      <c r="H46" t="s">
        <v>225</v>
      </c>
    </row>
    <row r="47" spans="1:8" ht="23.25" customHeight="1" x14ac:dyDescent="0.25">
      <c r="A47">
        <v>44</v>
      </c>
      <c r="B47" s="50">
        <f t="shared" si="0"/>
        <v>14.08</v>
      </c>
      <c r="C47" s="50"/>
      <c r="D47" s="50">
        <f t="shared" si="1"/>
        <v>7.04</v>
      </c>
      <c r="H47" t="s">
        <v>226</v>
      </c>
    </row>
    <row r="48" spans="1:8" ht="23.25" customHeight="1" x14ac:dyDescent="0.25">
      <c r="A48">
        <v>45</v>
      </c>
      <c r="B48" s="50">
        <f t="shared" si="0"/>
        <v>14.4</v>
      </c>
      <c r="C48" s="50"/>
      <c r="D48" s="50">
        <f t="shared" si="1"/>
        <v>7.2</v>
      </c>
      <c r="H48" t="s">
        <v>227</v>
      </c>
    </row>
    <row r="49" spans="1:8" ht="23.25" customHeight="1" x14ac:dyDescent="0.25">
      <c r="A49">
        <v>46</v>
      </c>
      <c r="B49" s="50">
        <f t="shared" si="0"/>
        <v>14.72</v>
      </c>
      <c r="C49" s="50"/>
      <c r="D49" s="50">
        <f t="shared" si="1"/>
        <v>7.36</v>
      </c>
      <c r="H49" t="s">
        <v>228</v>
      </c>
    </row>
    <row r="50" spans="1:8" ht="23.25" customHeight="1" x14ac:dyDescent="0.25">
      <c r="A50">
        <v>47</v>
      </c>
      <c r="B50" s="50">
        <f t="shared" si="0"/>
        <v>15.040000000000001</v>
      </c>
      <c r="C50" s="50"/>
      <c r="D50" s="50">
        <f t="shared" si="1"/>
        <v>7.5200000000000005</v>
      </c>
      <c r="H50" t="s">
        <v>229</v>
      </c>
    </row>
    <row r="51" spans="1:8" x14ac:dyDescent="0.25">
      <c r="A51">
        <v>48</v>
      </c>
      <c r="B51" s="50">
        <f t="shared" si="0"/>
        <v>15.36</v>
      </c>
      <c r="C51" s="50"/>
      <c r="D51" s="50">
        <f t="shared" si="1"/>
        <v>7.68</v>
      </c>
      <c r="H51" t="s">
        <v>230</v>
      </c>
    </row>
    <row r="52" spans="1:8" x14ac:dyDescent="0.25">
      <c r="A52">
        <v>49</v>
      </c>
      <c r="B52" s="50">
        <f t="shared" si="0"/>
        <v>15.68</v>
      </c>
      <c r="C52" s="50"/>
      <c r="D52" s="50">
        <f t="shared" si="1"/>
        <v>7.84</v>
      </c>
      <c r="H52" t="s">
        <v>231</v>
      </c>
    </row>
    <row r="53" spans="1:8" x14ac:dyDescent="0.25">
      <c r="A53">
        <v>50</v>
      </c>
      <c r="B53" s="50">
        <f t="shared" si="0"/>
        <v>16</v>
      </c>
      <c r="C53" s="50"/>
      <c r="D53" s="50">
        <f t="shared" si="1"/>
        <v>8</v>
      </c>
      <c r="H53" t="s">
        <v>232</v>
      </c>
    </row>
    <row r="54" spans="1:8" ht="23.25" customHeight="1" x14ac:dyDescent="0.25">
      <c r="B54" s="51" t="s">
        <v>137</v>
      </c>
      <c r="C54" s="51"/>
      <c r="D54" s="51" t="s">
        <v>138</v>
      </c>
      <c r="H54" t="s">
        <v>233</v>
      </c>
    </row>
    <row r="55" spans="1:8" ht="23.25" customHeight="1" x14ac:dyDescent="0.25">
      <c r="A55">
        <v>1</v>
      </c>
      <c r="B55" s="51">
        <f>0.64*A55</f>
        <v>0.64</v>
      </c>
      <c r="C55" s="51"/>
      <c r="D55" s="51">
        <f>0.48*A55</f>
        <v>0.48</v>
      </c>
      <c r="H55" t="s">
        <v>234</v>
      </c>
    </row>
    <row r="56" spans="1:8" ht="23.25" customHeight="1" x14ac:dyDescent="0.25">
      <c r="A56">
        <v>2</v>
      </c>
      <c r="B56" s="51">
        <f t="shared" ref="B56:B74" si="3">0.64*A56</f>
        <v>1.28</v>
      </c>
      <c r="C56" s="51"/>
      <c r="D56" s="51">
        <f t="shared" ref="D56:D74" si="4">0.48*A56</f>
        <v>0.96</v>
      </c>
      <c r="H56" t="s">
        <v>235</v>
      </c>
    </row>
    <row r="57" spans="1:8" ht="23.25" customHeight="1" x14ac:dyDescent="0.25">
      <c r="A57">
        <v>3</v>
      </c>
      <c r="B57" s="51">
        <f t="shared" si="3"/>
        <v>1.92</v>
      </c>
      <c r="C57" s="51"/>
      <c r="D57" s="51">
        <f t="shared" si="4"/>
        <v>1.44</v>
      </c>
      <c r="H57" t="s">
        <v>236</v>
      </c>
    </row>
    <row r="58" spans="1:8" ht="23.25" customHeight="1" x14ac:dyDescent="0.25">
      <c r="A58">
        <v>4</v>
      </c>
      <c r="B58" s="51">
        <f t="shared" si="3"/>
        <v>2.56</v>
      </c>
      <c r="C58" s="51"/>
      <c r="D58" s="51">
        <f t="shared" si="4"/>
        <v>1.92</v>
      </c>
      <c r="H58" t="s">
        <v>237</v>
      </c>
    </row>
    <row r="59" spans="1:8" x14ac:dyDescent="0.25">
      <c r="A59">
        <v>5</v>
      </c>
      <c r="B59" s="51">
        <f t="shared" si="3"/>
        <v>3.2</v>
      </c>
      <c r="C59" s="51"/>
      <c r="D59" s="51">
        <f t="shared" si="4"/>
        <v>2.4</v>
      </c>
      <c r="H59" t="s">
        <v>238</v>
      </c>
    </row>
    <row r="60" spans="1:8" x14ac:dyDescent="0.25">
      <c r="A60">
        <v>6</v>
      </c>
      <c r="B60" s="51">
        <f t="shared" si="3"/>
        <v>3.84</v>
      </c>
      <c r="C60" s="51"/>
      <c r="D60" s="51">
        <f t="shared" si="4"/>
        <v>2.88</v>
      </c>
      <c r="H60" t="s">
        <v>239</v>
      </c>
    </row>
    <row r="61" spans="1:8" x14ac:dyDescent="0.25">
      <c r="A61">
        <v>7</v>
      </c>
      <c r="B61" s="51">
        <f t="shared" si="3"/>
        <v>4.4800000000000004</v>
      </c>
      <c r="C61" s="51"/>
      <c r="D61" s="51">
        <f t="shared" si="4"/>
        <v>3.36</v>
      </c>
      <c r="H61" t="s">
        <v>240</v>
      </c>
    </row>
    <row r="62" spans="1:8" ht="23.25" customHeight="1" x14ac:dyDescent="0.25">
      <c r="A62">
        <v>8</v>
      </c>
      <c r="B62" s="51">
        <f t="shared" si="3"/>
        <v>5.12</v>
      </c>
      <c r="C62" s="51"/>
      <c r="D62" s="51">
        <f t="shared" si="4"/>
        <v>3.84</v>
      </c>
      <c r="H62" t="s">
        <v>241</v>
      </c>
    </row>
    <row r="63" spans="1:8" ht="23.25" customHeight="1" x14ac:dyDescent="0.25">
      <c r="A63">
        <v>9</v>
      </c>
      <c r="B63" s="51">
        <f t="shared" si="3"/>
        <v>5.76</v>
      </c>
      <c r="C63" s="51"/>
      <c r="D63" s="51">
        <f t="shared" si="4"/>
        <v>4.32</v>
      </c>
      <c r="H63" t="s">
        <v>242</v>
      </c>
    </row>
    <row r="64" spans="1:8" ht="23.25" customHeight="1" x14ac:dyDescent="0.25">
      <c r="A64">
        <v>10</v>
      </c>
      <c r="B64" s="51">
        <f t="shared" si="3"/>
        <v>6.4</v>
      </c>
      <c r="C64" s="51"/>
      <c r="D64" s="51">
        <f t="shared" si="4"/>
        <v>4.8</v>
      </c>
      <c r="H64" t="s">
        <v>243</v>
      </c>
    </row>
    <row r="65" spans="1:8" ht="23.25" customHeight="1" x14ac:dyDescent="0.25">
      <c r="A65">
        <v>11</v>
      </c>
      <c r="B65" s="51">
        <f t="shared" si="3"/>
        <v>7.04</v>
      </c>
      <c r="C65" s="51"/>
      <c r="D65" s="51">
        <f t="shared" si="4"/>
        <v>5.2799999999999994</v>
      </c>
      <c r="H65" t="s">
        <v>244</v>
      </c>
    </row>
    <row r="66" spans="1:8" ht="23.25" customHeight="1" x14ac:dyDescent="0.25">
      <c r="A66">
        <v>12</v>
      </c>
      <c r="B66" s="51">
        <f t="shared" si="3"/>
        <v>7.68</v>
      </c>
      <c r="C66" s="51"/>
      <c r="D66" s="51">
        <f t="shared" si="4"/>
        <v>5.76</v>
      </c>
      <c r="H66" t="s">
        <v>245</v>
      </c>
    </row>
    <row r="67" spans="1:8" x14ac:dyDescent="0.25">
      <c r="A67">
        <v>13</v>
      </c>
      <c r="B67" s="51">
        <f t="shared" si="3"/>
        <v>8.32</v>
      </c>
      <c r="C67" s="51"/>
      <c r="D67" s="51">
        <f t="shared" si="4"/>
        <v>6.24</v>
      </c>
      <c r="H67" t="s">
        <v>246</v>
      </c>
    </row>
    <row r="68" spans="1:8" x14ac:dyDescent="0.25">
      <c r="A68">
        <v>14</v>
      </c>
      <c r="B68" s="51">
        <f t="shared" si="3"/>
        <v>8.9600000000000009</v>
      </c>
      <c r="C68" s="51"/>
      <c r="D68" s="51">
        <f t="shared" si="4"/>
        <v>6.72</v>
      </c>
      <c r="H68" t="s">
        <v>247</v>
      </c>
    </row>
    <row r="69" spans="1:8" x14ac:dyDescent="0.25">
      <c r="A69">
        <v>15</v>
      </c>
      <c r="B69" s="51">
        <f t="shared" si="3"/>
        <v>9.6</v>
      </c>
      <c r="C69" s="51"/>
      <c r="D69" s="51">
        <f t="shared" si="4"/>
        <v>7.1999999999999993</v>
      </c>
      <c r="H69" t="s">
        <v>248</v>
      </c>
    </row>
    <row r="70" spans="1:8" ht="23.25" customHeight="1" x14ac:dyDescent="0.25">
      <c r="A70">
        <v>16</v>
      </c>
      <c r="B70" s="51">
        <f t="shared" si="3"/>
        <v>10.24</v>
      </c>
      <c r="C70" s="51"/>
      <c r="D70" s="51">
        <f t="shared" si="4"/>
        <v>7.68</v>
      </c>
      <c r="H70" t="s">
        <v>249</v>
      </c>
    </row>
    <row r="71" spans="1:8" ht="23.25" customHeight="1" x14ac:dyDescent="0.25">
      <c r="A71">
        <v>17</v>
      </c>
      <c r="B71" s="51">
        <f t="shared" si="3"/>
        <v>10.88</v>
      </c>
      <c r="C71" s="51"/>
      <c r="D71" s="51">
        <f t="shared" si="4"/>
        <v>8.16</v>
      </c>
      <c r="H71" t="s">
        <v>250</v>
      </c>
    </row>
    <row r="72" spans="1:8" ht="23.25" customHeight="1" x14ac:dyDescent="0.25">
      <c r="A72">
        <v>18</v>
      </c>
      <c r="B72" s="51">
        <f t="shared" si="3"/>
        <v>11.52</v>
      </c>
      <c r="C72" s="51"/>
      <c r="D72" s="51">
        <f t="shared" si="4"/>
        <v>8.64</v>
      </c>
      <c r="H72" t="s">
        <v>251</v>
      </c>
    </row>
    <row r="73" spans="1:8" ht="23.25" customHeight="1" x14ac:dyDescent="0.25">
      <c r="A73">
        <v>19</v>
      </c>
      <c r="B73" s="51">
        <f t="shared" si="3"/>
        <v>12.16</v>
      </c>
      <c r="C73" s="51"/>
      <c r="D73" s="51">
        <f t="shared" si="4"/>
        <v>9.1199999999999992</v>
      </c>
      <c r="H73" t="s">
        <v>252</v>
      </c>
    </row>
    <row r="74" spans="1:8" ht="23.25" customHeight="1" x14ac:dyDescent="0.25">
      <c r="A74">
        <v>20</v>
      </c>
      <c r="B74" s="51">
        <f t="shared" si="3"/>
        <v>12.8</v>
      </c>
      <c r="C74" s="51"/>
      <c r="D74" s="51">
        <f t="shared" si="4"/>
        <v>9.6</v>
      </c>
      <c r="H74" t="s">
        <v>253</v>
      </c>
    </row>
    <row r="75" spans="1:8" x14ac:dyDescent="0.25">
      <c r="H75" t="s">
        <v>254</v>
      </c>
    </row>
    <row r="76" spans="1:8" x14ac:dyDescent="0.25">
      <c r="H76" t="s">
        <v>255</v>
      </c>
    </row>
  </sheetData>
  <customSheetViews>
    <customSheetView guid="{D7858EE5-5A2B-4DA3-AFDF-B47720F98719}" topLeftCell="B10">
      <selection activeCell="N21" sqref="N2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0"/>
  <sheetViews>
    <sheetView workbookViewId="0">
      <selection activeCell="B11" sqref="B11"/>
    </sheetView>
  </sheetViews>
  <sheetFormatPr defaultRowHeight="15" x14ac:dyDescent="0.25"/>
  <cols>
    <col min="1" max="3" width="28.140625" customWidth="1"/>
  </cols>
  <sheetData>
    <row r="1" spans="1:4" x14ac:dyDescent="0.25">
      <c r="A1" t="s">
        <v>158</v>
      </c>
      <c r="B1" t="s">
        <v>171</v>
      </c>
      <c r="C1" t="s">
        <v>159</v>
      </c>
      <c r="D1" t="s">
        <v>168</v>
      </c>
    </row>
    <row r="2" spans="1:4" x14ac:dyDescent="0.25">
      <c r="A2" t="s">
        <v>68</v>
      </c>
      <c r="B2" t="s">
        <v>169</v>
      </c>
      <c r="C2" t="s">
        <v>160</v>
      </c>
      <c r="D2" t="s">
        <v>169</v>
      </c>
    </row>
    <row r="3" spans="1:4" x14ac:dyDescent="0.25">
      <c r="A3" t="s">
        <v>140</v>
      </c>
      <c r="B3" t="s">
        <v>170</v>
      </c>
      <c r="C3" t="s">
        <v>70</v>
      </c>
      <c r="D3" t="s">
        <v>170</v>
      </c>
    </row>
    <row r="4" spans="1:4" x14ac:dyDescent="0.25">
      <c r="C4" t="s">
        <v>72</v>
      </c>
    </row>
    <row r="5" spans="1:4" x14ac:dyDescent="0.25">
      <c r="C5" t="s">
        <v>161</v>
      </c>
    </row>
    <row r="6" spans="1:4" x14ac:dyDescent="0.25">
      <c r="C6" t="s">
        <v>162</v>
      </c>
    </row>
    <row r="7" spans="1:4" x14ac:dyDescent="0.25">
      <c r="C7" t="s">
        <v>163</v>
      </c>
    </row>
    <row r="8" spans="1:4" x14ac:dyDescent="0.25">
      <c r="C8" t="s">
        <v>69</v>
      </c>
    </row>
    <row r="9" spans="1:4" x14ac:dyDescent="0.25">
      <c r="C9" t="s">
        <v>73</v>
      </c>
    </row>
    <row r="10" spans="1:4" x14ac:dyDescent="0.25">
      <c r="C10" t="s">
        <v>141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THEMPLATE QUOT</vt:lpstr>
      <vt:lpstr>format quot</vt:lpstr>
      <vt:lpstr>Sheet2</vt:lpstr>
      <vt:lpstr>Sheet3</vt:lpstr>
      <vt:lpstr>DATA CUSTOMER</vt:lpstr>
      <vt:lpstr>'format quot'!Print_Area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sancon pc</dc:creator>
  <cp:lastModifiedBy>sancon pc</cp:lastModifiedBy>
  <cp:lastPrinted>2024-11-14T01:35:15Z</cp:lastPrinted>
  <dcterms:created xsi:type="dcterms:W3CDTF">2024-10-22T00:53:24Z</dcterms:created>
  <dcterms:modified xsi:type="dcterms:W3CDTF">2024-11-14T01:49:01Z</dcterms:modified>
</cp:coreProperties>
</file>